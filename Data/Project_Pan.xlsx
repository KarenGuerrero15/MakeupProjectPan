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Projects\MakeupProjectPan\Data\"/>
    </mc:Choice>
  </mc:AlternateContent>
  <xr:revisionPtr revIDLastSave="0" documentId="13_ncr:1_{B7DF09CB-4B1E-4F61-A331-7C5196364CB1}" xr6:coauthVersionLast="47" xr6:coauthVersionMax="47" xr10:uidLastSave="{00000000-0000-0000-0000-000000000000}"/>
  <bookViews>
    <workbookView xWindow="-28920" yWindow="1620" windowWidth="29040" windowHeight="15720" xr2:uid="{00000000-000D-0000-FFFF-FFFF00000000}"/>
  </bookViews>
  <sheets>
    <sheet name="Products" sheetId="1" r:id="rId1"/>
    <sheet name="Usage log" sheetId="3" r:id="rId2"/>
    <sheet name="Dropdownlists" sheetId="2" state="hidden" r:id="rId3"/>
  </sheets>
  <definedNames>
    <definedName name="UsaseLog">UsageLog[#All]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" i="1" l="1"/>
  <c r="H42" i="1"/>
</calcChain>
</file>

<file path=xl/sharedStrings.xml><?xml version="1.0" encoding="utf-8"?>
<sst xmlns="http://schemas.openxmlformats.org/spreadsheetml/2006/main" count="1376" uniqueCount="298">
  <si>
    <t>ProductName</t>
  </si>
  <si>
    <t>ProductID</t>
  </si>
  <si>
    <t>Brand</t>
  </si>
  <si>
    <t>Category</t>
  </si>
  <si>
    <t>ProductType</t>
  </si>
  <si>
    <t>Shade</t>
  </si>
  <si>
    <t>PurchaseDate</t>
  </si>
  <si>
    <t>PriceAUD</t>
  </si>
  <si>
    <t>Store</t>
  </si>
  <si>
    <t>PurchaseReason</t>
  </si>
  <si>
    <t>OpenedDate</t>
  </si>
  <si>
    <t>Status</t>
  </si>
  <si>
    <t>FinishedDate</t>
  </si>
  <si>
    <t>Eyes</t>
  </si>
  <si>
    <t>Lips</t>
  </si>
  <si>
    <t>Cheeks</t>
  </si>
  <si>
    <t>Face</t>
  </si>
  <si>
    <t>Body</t>
  </si>
  <si>
    <t>Sunscreen</t>
  </si>
  <si>
    <t>Foundation</t>
  </si>
  <si>
    <t>Concealer</t>
  </si>
  <si>
    <t>Blush</t>
  </si>
  <si>
    <t>Highlighter</t>
  </si>
  <si>
    <t>Lip gloss</t>
  </si>
  <si>
    <t>Lip balm</t>
  </si>
  <si>
    <t>Handcream</t>
  </si>
  <si>
    <t>Body cream</t>
  </si>
  <si>
    <t>Mineral face</t>
  </si>
  <si>
    <t>Chemical face</t>
  </si>
  <si>
    <t>Spray</t>
  </si>
  <si>
    <t>Stick</t>
  </si>
  <si>
    <t>Liquid</t>
  </si>
  <si>
    <t>Balm</t>
  </si>
  <si>
    <t>Powder</t>
  </si>
  <si>
    <t>Loose</t>
  </si>
  <si>
    <t>Pressed</t>
  </si>
  <si>
    <t>Cream</t>
  </si>
  <si>
    <t>Bronzer</t>
  </si>
  <si>
    <t>Face palette</t>
  </si>
  <si>
    <t>Palette</t>
  </si>
  <si>
    <t>Lip stick</t>
  </si>
  <si>
    <t>Mascara</t>
  </si>
  <si>
    <t>Brow gel</t>
  </si>
  <si>
    <t>Pencil</t>
  </si>
  <si>
    <t>Brows</t>
  </si>
  <si>
    <t>Hair</t>
  </si>
  <si>
    <t>Leave in</t>
  </si>
  <si>
    <t>Heat protectant</t>
  </si>
  <si>
    <t>Oil</t>
  </si>
  <si>
    <t>Night</t>
  </si>
  <si>
    <t>Day</t>
  </si>
  <si>
    <t>Dry shampoo</t>
  </si>
  <si>
    <t>Parfum</t>
  </si>
  <si>
    <t>Body Mist</t>
  </si>
  <si>
    <t>Vitamin C</t>
  </si>
  <si>
    <t>Retinol</t>
  </si>
  <si>
    <t>Retinol eye</t>
  </si>
  <si>
    <t>Hydrating cream</t>
  </si>
  <si>
    <t>Face mist</t>
  </si>
  <si>
    <t>Hypochlorous acid</t>
  </si>
  <si>
    <t>Setting spray</t>
  </si>
  <si>
    <t>ProductDetail</t>
  </si>
  <si>
    <t>Rare Beauty</t>
  </si>
  <si>
    <t>Sephora</t>
  </si>
  <si>
    <t>Impulse</t>
  </si>
  <si>
    <t>ExpiryMonthsAfterOpening</t>
  </si>
  <si>
    <t>In use</t>
  </si>
  <si>
    <t>Quantity</t>
  </si>
  <si>
    <t>QuantityDetail</t>
  </si>
  <si>
    <t>ml</t>
  </si>
  <si>
    <t>P001</t>
  </si>
  <si>
    <t xml:space="preserve">True to Myself 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</si>
  <si>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</si>
  <si>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</si>
  <si>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</si>
  <si>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</si>
  <si>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</si>
  <si>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</si>
  <si>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</si>
  <si>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</si>
  <si>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</si>
  <si>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</si>
  <si>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</si>
  <si>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</si>
  <si>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</si>
  <si>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</si>
  <si>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</si>
  <si>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</si>
  <si>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</si>
  <si>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</si>
  <si>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</si>
  <si>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</si>
  <si>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</si>
  <si>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</si>
  <si>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</si>
  <si>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</si>
  <si>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</si>
  <si>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</si>
  <si>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</si>
  <si>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</si>
  <si>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</si>
  <si>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</si>
  <si>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</si>
  <si>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</si>
  <si>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</si>
  <si>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</si>
  <si>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</si>
  <si>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</si>
  <si>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</si>
  <si>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</si>
  <si>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</si>
  <si>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</si>
  <si>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</si>
  <si>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</si>
  <si>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</si>
  <si>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</si>
  <si>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</si>
  <si>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</si>
  <si>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</si>
  <si>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</si>
  <si>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Brow Harmony</t>
  </si>
  <si>
    <t>Transparent</t>
  </si>
  <si>
    <t>gr</t>
  </si>
  <si>
    <t>Decluterred</t>
  </si>
  <si>
    <t>Yes</t>
  </si>
  <si>
    <t>No</t>
  </si>
  <si>
    <t>Shampoo</t>
  </si>
  <si>
    <t>Conditioner</t>
  </si>
  <si>
    <t>Deep clean shampoo</t>
  </si>
  <si>
    <t>Taming frizz</t>
  </si>
  <si>
    <t>Covergirl</t>
  </si>
  <si>
    <t>Skin perfector Essence</t>
  </si>
  <si>
    <t>Light</t>
  </si>
  <si>
    <t>Tk Maxx</t>
  </si>
  <si>
    <t>Sale</t>
  </si>
  <si>
    <t>Unopened</t>
  </si>
  <si>
    <t>True match</t>
  </si>
  <si>
    <t>Loreal</t>
  </si>
  <si>
    <t>1N Neutral</t>
  </si>
  <si>
    <t>Amazon</t>
  </si>
  <si>
    <t>Gift</t>
  </si>
  <si>
    <t>Super Stay</t>
  </si>
  <si>
    <t>Maybelline</t>
  </si>
  <si>
    <t>Replacement</t>
  </si>
  <si>
    <t>BB cream</t>
  </si>
  <si>
    <t>Misha</t>
  </si>
  <si>
    <t>21 Light beige</t>
  </si>
  <si>
    <t>Eyebrow pencil</t>
  </si>
  <si>
    <t>Etude</t>
  </si>
  <si>
    <t>2 Grey brown</t>
  </si>
  <si>
    <t>Stylevana</t>
  </si>
  <si>
    <t>Tinted moisturizer stick</t>
  </si>
  <si>
    <t>Revlon</t>
  </si>
  <si>
    <t>TerryWhite Chemist</t>
  </si>
  <si>
    <t>Essence</t>
  </si>
  <si>
    <t>Elf</t>
  </si>
  <si>
    <t>Nyx</t>
  </si>
  <si>
    <t>Catrice</t>
  </si>
  <si>
    <t>Under eye brightener</t>
  </si>
  <si>
    <t>20 warm nude</t>
  </si>
  <si>
    <t>Priceline</t>
  </si>
  <si>
    <t>Hydrating Camo concelaer</t>
  </si>
  <si>
    <t>Target</t>
  </si>
  <si>
    <t>Light peach</t>
  </si>
  <si>
    <t>Silky blur</t>
  </si>
  <si>
    <t>Instant age rewind</t>
  </si>
  <si>
    <t>Pink</t>
  </si>
  <si>
    <t>Pro fix stick</t>
  </si>
  <si>
    <t>Dark peach</t>
  </si>
  <si>
    <t>Bare with me</t>
  </si>
  <si>
    <t>2 Light</t>
  </si>
  <si>
    <t>Green</t>
  </si>
  <si>
    <t>Hollywood flawless filter</t>
  </si>
  <si>
    <t>Charlotte Tilbury</t>
  </si>
  <si>
    <t>1 fair</t>
  </si>
  <si>
    <t>Mecca</t>
  </si>
  <si>
    <t>Try</t>
  </si>
  <si>
    <t>Lumi le glass</t>
  </si>
  <si>
    <t>620 Glassy pink ballet</t>
  </si>
  <si>
    <t>Faux Brow</t>
  </si>
  <si>
    <t>Light Brunnette</t>
  </si>
  <si>
    <t>Hydrating primer</t>
  </si>
  <si>
    <t>Primer</t>
  </si>
  <si>
    <t>Revolution</t>
  </si>
  <si>
    <t>Lifter stick</t>
  </si>
  <si>
    <t>Westman Atelier</t>
  </si>
  <si>
    <t>Fwee</t>
  </si>
  <si>
    <t>Baby got blush</t>
  </si>
  <si>
    <t>Pudding blush</t>
  </si>
  <si>
    <t>Petal</t>
  </si>
  <si>
    <t>Tickle me pink</t>
  </si>
  <si>
    <t>Baby cheeks</t>
  </si>
  <si>
    <t>03 without</t>
  </si>
  <si>
    <t>W cosmetics</t>
  </si>
  <si>
    <t xml:space="preserve">Buttermelt </t>
  </si>
  <si>
    <t>Hoola</t>
  </si>
  <si>
    <t>2.5 butta balin</t>
  </si>
  <si>
    <t>original</t>
  </si>
  <si>
    <t>n/a</t>
  </si>
  <si>
    <t>Blush is life</t>
  </si>
  <si>
    <t>Nars</t>
  </si>
  <si>
    <t>Benefit</t>
  </si>
  <si>
    <t>Kosas</t>
  </si>
  <si>
    <t>Euphoria</t>
  </si>
  <si>
    <t>Dare</t>
  </si>
  <si>
    <t>Orgasm</t>
  </si>
  <si>
    <t>Spellbound</t>
  </si>
  <si>
    <t>Lala bag</t>
  </si>
  <si>
    <t>Fit me</t>
  </si>
  <si>
    <t>10 Fair light</t>
  </si>
  <si>
    <t>15 Light</t>
  </si>
  <si>
    <t>Big w</t>
  </si>
  <si>
    <t>120 Classic ivory</t>
  </si>
  <si>
    <t>220 natural beige</t>
  </si>
  <si>
    <t>Mco beauty</t>
  </si>
  <si>
    <t>Miracle flawless</t>
  </si>
  <si>
    <t>Translucent</t>
  </si>
  <si>
    <t>Glowing beauty</t>
  </si>
  <si>
    <t>Bronzed beauty</t>
  </si>
  <si>
    <t>Swan</t>
  </si>
  <si>
    <t>Hourglass</t>
  </si>
  <si>
    <t>Light medium</t>
  </si>
  <si>
    <t>Medium dark</t>
  </si>
  <si>
    <t xml:space="preserve">Ultra precise </t>
  </si>
  <si>
    <t>medium</t>
  </si>
  <si>
    <t>Lip liner</t>
  </si>
  <si>
    <t>Lifter liner</t>
  </si>
  <si>
    <t>13 Maybe it is</t>
  </si>
  <si>
    <t>Cheeky chat</t>
  </si>
  <si>
    <t>Chemist Wharehouse</t>
  </si>
  <si>
    <t>Caviar stick</t>
  </si>
  <si>
    <t>Rose gold</t>
  </si>
  <si>
    <t>Laura mercier</t>
  </si>
  <si>
    <t>Eyeshadow</t>
  </si>
  <si>
    <t>Natasha Denona</t>
  </si>
  <si>
    <t>Le shadow stick</t>
  </si>
  <si>
    <t>Magnetic bronze</t>
  </si>
  <si>
    <t>Panorama</t>
  </si>
  <si>
    <t>Bordeaux cashmere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</si>
  <si>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</si>
  <si>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</si>
  <si>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</si>
  <si>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</si>
  <si>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</si>
  <si>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</si>
  <si>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</si>
  <si>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</si>
  <si>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</si>
  <si>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</si>
  <si>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</si>
  <si>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</si>
  <si>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</si>
  <si>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</si>
  <si>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</si>
  <si>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</si>
  <si>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Supper stay Matte ink</t>
  </si>
  <si>
    <t>65 seductress</t>
  </si>
  <si>
    <t>Mini eye sculpt</t>
  </si>
  <si>
    <t>Mini bite size</t>
  </si>
  <si>
    <t>Nudes</t>
  </si>
  <si>
    <t>Kmart</t>
  </si>
  <si>
    <t>Take your pink</t>
  </si>
  <si>
    <t>Hyaluron tint</t>
  </si>
  <si>
    <t>601 worth it</t>
  </si>
  <si>
    <t>Lifter gloss</t>
  </si>
  <si>
    <t>004 silk</t>
  </si>
  <si>
    <t>Meet Matt hughes</t>
  </si>
  <si>
    <t>The Balm</t>
  </si>
  <si>
    <t>Cromantic</t>
  </si>
  <si>
    <t>Trusthworthy</t>
  </si>
  <si>
    <t>Patient</t>
  </si>
  <si>
    <t>Charming</t>
  </si>
  <si>
    <t>Sincere</t>
  </si>
  <si>
    <t>Genuine</t>
  </si>
  <si>
    <t>Express brow</t>
  </si>
  <si>
    <t>Brown</t>
  </si>
  <si>
    <t>mg</t>
  </si>
  <si>
    <t>Mecca Max</t>
  </si>
  <si>
    <t>Lasting Fix</t>
  </si>
  <si>
    <t>Life proof</t>
  </si>
  <si>
    <t>Ultra last</t>
  </si>
  <si>
    <t>Farmatodo</t>
  </si>
  <si>
    <t>3 second mist</t>
  </si>
  <si>
    <t>Coles</t>
  </si>
  <si>
    <t>Magic shine eraser</t>
  </si>
  <si>
    <t>Lifter glaze</t>
  </si>
  <si>
    <t>Peach quench</t>
  </si>
  <si>
    <t>UsesSeptember</t>
  </si>
  <si>
    <t>P066</t>
  </si>
  <si>
    <t>Tinted balm</t>
  </si>
  <si>
    <t>1 Very light</t>
  </si>
  <si>
    <t>P067</t>
  </si>
  <si>
    <t>Mac</t>
  </si>
  <si>
    <t>P068</t>
  </si>
  <si>
    <t>Urban Decay</t>
  </si>
  <si>
    <t>P069</t>
  </si>
  <si>
    <t>Setting Powder</t>
  </si>
  <si>
    <t>01 Sugar serve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</si>
</sst>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theme="6" tint="0.399975585192419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1" xfId="0" applyFill="1" applyBorder="1"/>
    <xf numFmtId="0" fontId="0" fillId="0" borderId="1" xfId="0" applyBorder="1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2" xfId="0" applyFont="1" applyFill="1" applyBorder="1" applyAlignment="1">
      <alignment vertical="center"/>
    </xf>
    <xf numFmtId="0" fontId="0" fillId="3" borderId="3" xfId="0" applyFill="1" applyBorder="1"/>
    <xf numFmtId="0" fontId="0" fillId="3" borderId="3" xfId="0" applyFont="1" applyFill="1" applyBorder="1"/>
  </cellXfs>
  <cellStyles count="1">
    <cellStyle name="Normal" xfId="0" builtinId="0"/>
  </cellStyles>
  <dxfs count="22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border outline="0">
        <top style="thin">
          <color theme="6" tint="0.39997558519241921"/>
        </top>
      </border>
    </dxf>
    <dxf>
      <border outline="0">
        <left style="thin">
          <color theme="6" tint="0.39997558519241921"/>
        </left>
        <top style="thin">
          <color theme="6" tint="0.39997558519241921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</dxf>
    <dxf>
      <border outline="0">
        <bottom style="thin">
          <color theme="6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FC25FF-BC78-4B46-B0E7-E3DC147CF5AF}" name="Products" displayName="Products" ref="A1:R70" totalsRowShown="0" headerRowDxfId="8">
  <autoFilter ref="A1:R70" xr:uid="{ACFC25FF-BC78-4B46-B0E7-E3DC147CF5AF}"/>
  <tableColumns count="18">
    <tableColumn id="1" xr3:uid="{5A8A122B-541F-482F-A329-30E536EC3342}" name="ProductID"/>
    <tableColumn id="2" xr3:uid="{E025A529-F994-4B68-B249-993CAB28BD7B}" name="ProductName"/>
    <tableColumn id="3" xr3:uid="{E264D196-43F0-494B-9183-BA7E706153BC}" name="Brand"/>
    <tableColumn id="4" xr3:uid="{8E50C1F5-766C-4044-AD9C-4BFD4A3A0582}" name="Category"/>
    <tableColumn id="5" xr3:uid="{84860356-963D-4354-8182-8DC51341D81E}" name="ProductType"/>
    <tableColumn id="17" xr3:uid="{1D82E821-AE91-4FE8-9F60-2D35168F20B9}" name="ProductDetail"/>
    <tableColumn id="6" xr3:uid="{AC229940-61BD-4BCE-9B11-54F1129851C0}" name="Shade"/>
    <tableColumn id="18" xr3:uid="{25363305-BC64-4895-86F7-2A4B36D221BF}" name="Quantity"/>
    <tableColumn id="19" xr3:uid="{7F23E76A-15C2-4E95-9003-74A4281062F3}" name="QuantityDetail"/>
    <tableColumn id="7" xr3:uid="{31FDB77B-7E8A-4E2B-B5A9-45CCF2013EE1}" name="PurchaseDate"/>
    <tableColumn id="8" xr3:uid="{3EB56803-28EB-4E8B-AF32-90D64243EC17}" name="PriceAUD"/>
    <tableColumn id="9" xr3:uid="{D3D8549C-90E0-417A-850A-E9057244809C}" name="Store"/>
    <tableColumn id="10" xr3:uid="{D35F3E31-E49A-4E0E-AC37-0E376B4CFAF7}" name="PurchaseReason"/>
    <tableColumn id="11" xr3:uid="{630DF184-9588-4A31-AE43-5893B739CD5E}" name="OpenedDate"/>
    <tableColumn id="12" xr3:uid="{AC2D5B29-7AE2-485C-B244-8A6694B80410}" name="ExpiryMonthsAfterOpening" dataDxfId="7"/>
    <tableColumn id="13" xr3:uid="{B2046ECE-B9AD-47BB-A789-EE194A1C8477}" name="Status"/>
    <tableColumn id="14" xr3:uid="{2B0CC3FE-00F1-415E-BAB7-6D274DB9A287}" name="FinishedDate"/>
    <tableColumn id="20" xr3:uid="{85EB2270-E1A0-4E33-BAD3-6832CEDD6104}" name="Decluterred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BBAF23-26BF-4147-B6CE-000FF151FA45}" name="UsageLog" displayName="UsageLog" ref="A1:H68" totalsRowShown="0" headerRowDxfId="21" dataDxfId="19" headerRowBorderDxfId="20" tableBorderDxfId="18" totalsRowBorderDxfId="17">
  <autoFilter ref="A1:H68" xr:uid="{33BBAF23-26BF-4147-B6CE-000FF151FA45}"/>
  <tableColumns count="8">
    <tableColumn id="1" xr3:uid="{192920FB-897E-4386-8D1D-10C900F4E6CE}" name="ProductID" dataDxfId="16"/>
    <tableColumn id="2" xr3:uid="{5FA32629-6E43-465F-95D8-A3AD775DE7C0}" name="ProductName" dataDxfId="15"/>
    <tableColumn id="3" xr3:uid="{18D5C2E7-5381-4F5F-825A-844C594A4F11}" name="Brand" dataDxfId="14"/>
    <tableColumn id="4" xr3:uid="{F8DCC179-BEED-4A3C-8714-720D018C30C4}" name="Category" dataDxfId="13"/>
    <tableColumn id="5" xr3:uid="{599B67A9-862E-41D4-8CA2-A8326FF95ADD}" name="ProductType" dataDxfId="12"/>
    <tableColumn id="6" xr3:uid="{F93A29E8-B380-44A8-933E-7CABCABDC2C0}" name="ProductDetail" dataDxfId="11"/>
    <tableColumn id="7" xr3:uid="{1B0F38AD-9560-450E-BC22-ADCC50557DF0}" name="Shade" dataDxfId="10"/>
    <tableColumn id="8" xr3:uid="{BDF0D2D1-8574-4C4C-BB4B-9E4D734DAE64}" name="UsesSeptember" dataDxfId="9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0"/>
  <sheetViews>
    <sheetView tabSelected="1" workbookViewId="0">
      <selection activeCell="H22" sqref="H22"/>
    </sheetView>
  </sheetViews>
  <sheetFormatPr defaultRowHeight="14.5" x14ac:dyDescent="0.35"/>
  <cols>
    <col min="1" max="1" width="11.1796875" customWidth="1"/>
    <col min="2" max="2" width="15" bestFit="1" customWidth="1"/>
    <col min="3" max="3" width="11" bestFit="1" customWidth="1"/>
    <col min="4" max="4" width="10.36328125" customWidth="1"/>
    <col min="5" max="6" width="13.54296875" customWidth="1"/>
    <col min="7" max="7" width="12.6328125" bestFit="1" customWidth="1"/>
    <col min="8" max="8" width="10.6328125" bestFit="1" customWidth="1"/>
    <col min="9" max="9" width="10.6328125" customWidth="1"/>
    <col min="10" max="10" width="14.453125" customWidth="1"/>
    <col min="11" max="11" width="10.90625" customWidth="1"/>
    <col min="13" max="13" width="16.6328125" customWidth="1"/>
    <col min="14" max="14" width="13.6328125" customWidth="1"/>
    <col min="15" max="15" width="16.81640625" customWidth="1"/>
    <col min="16" max="16" width="9.81640625" bestFit="1" customWidth="1"/>
    <col min="17" max="17" width="14.08984375" customWidth="1"/>
  </cols>
  <sheetData>
    <row r="1" spans="1:18" s="5" customFormat="1" ht="29" x14ac:dyDescent="0.35">
      <c r="A1" s="5" t="s">
        <v>1</v>
      </c>
      <c r="B1" s="5" t="s">
        <v>0</v>
      </c>
      <c r="C1" s="5" t="s">
        <v>2</v>
      </c>
      <c r="D1" s="5" t="s">
        <v>3</v>
      </c>
      <c r="E1" s="5" t="s">
        <v>4</v>
      </c>
      <c r="F1" s="5" t="s">
        <v>61</v>
      </c>
      <c r="G1" s="5" t="s">
        <v>5</v>
      </c>
      <c r="H1" s="5" t="s">
        <v>67</v>
      </c>
      <c r="I1" s="5" t="s">
        <v>68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6" t="s">
        <v>65</v>
      </c>
      <c r="P1" s="5" t="s">
        <v>11</v>
      </c>
      <c r="Q1" s="5" t="s">
        <v>12</v>
      </c>
      <c r="R1" s="5" t="s">
        <v>123</v>
      </c>
    </row>
    <row r="2" spans="1:18" x14ac:dyDescent="0.35">
      <c r="A2" t="s">
        <v>70</v>
      </c>
      <c r="B2" t="s">
        <v>71</v>
      </c>
      <c r="C2" t="s">
        <v>62</v>
      </c>
      <c r="D2" t="s">
        <v>16</v>
      </c>
      <c r="E2" t="s">
        <v>19</v>
      </c>
      <c r="F2" t="s">
        <v>31</v>
      </c>
      <c r="G2">
        <v>6</v>
      </c>
      <c r="H2">
        <v>30</v>
      </c>
      <c r="I2" t="s">
        <v>69</v>
      </c>
      <c r="J2" s="3">
        <v>46158</v>
      </c>
      <c r="K2">
        <v>67</v>
      </c>
      <c r="L2" t="s">
        <v>63</v>
      </c>
      <c r="M2" t="s">
        <v>64</v>
      </c>
      <c r="N2" s="3">
        <v>46159</v>
      </c>
      <c r="O2" s="4">
        <v>12</v>
      </c>
      <c r="P2" t="s">
        <v>66</v>
      </c>
      <c r="R2" t="s">
        <v>125</v>
      </c>
    </row>
    <row r="3" spans="1:18" x14ac:dyDescent="0.35">
      <c r="A3" t="s">
        <v>72</v>
      </c>
      <c r="B3" t="s">
        <v>120</v>
      </c>
      <c r="C3" t="s">
        <v>62</v>
      </c>
      <c r="D3" t="s">
        <v>44</v>
      </c>
      <c r="E3" t="s">
        <v>42</v>
      </c>
      <c r="F3" t="s">
        <v>31</v>
      </c>
      <c r="G3" t="s">
        <v>121</v>
      </c>
      <c r="H3">
        <v>4.5</v>
      </c>
      <c r="I3" t="s">
        <v>122</v>
      </c>
      <c r="J3" s="3">
        <v>46158</v>
      </c>
      <c r="K3">
        <v>37</v>
      </c>
      <c r="L3" t="s">
        <v>63</v>
      </c>
      <c r="M3" t="s">
        <v>64</v>
      </c>
      <c r="N3" s="3">
        <v>46159</v>
      </c>
      <c r="O3" s="4">
        <v>6</v>
      </c>
      <c r="P3" t="s">
        <v>66</v>
      </c>
      <c r="R3" t="s">
        <v>125</v>
      </c>
    </row>
    <row r="4" spans="1:18" x14ac:dyDescent="0.35">
      <c r="A4" t="s">
        <v>73</v>
      </c>
      <c r="B4" t="s">
        <v>131</v>
      </c>
      <c r="C4" t="s">
        <v>130</v>
      </c>
      <c r="D4" t="s">
        <v>16</v>
      </c>
      <c r="E4" t="s">
        <v>19</v>
      </c>
      <c r="F4" t="s">
        <v>31</v>
      </c>
      <c r="G4" t="s">
        <v>132</v>
      </c>
      <c r="H4">
        <v>30</v>
      </c>
      <c r="I4" t="s">
        <v>69</v>
      </c>
      <c r="J4" s="3">
        <v>46268</v>
      </c>
      <c r="K4">
        <v>15</v>
      </c>
      <c r="L4" t="s">
        <v>133</v>
      </c>
      <c r="M4" t="s">
        <v>134</v>
      </c>
      <c r="N4" s="3">
        <v>46269</v>
      </c>
      <c r="O4" s="4">
        <v>6</v>
      </c>
      <c r="P4" t="s">
        <v>66</v>
      </c>
      <c r="R4" t="s">
        <v>125</v>
      </c>
    </row>
    <row r="5" spans="1:18" x14ac:dyDescent="0.35">
      <c r="A5" t="s">
        <v>74</v>
      </c>
      <c r="B5" t="s">
        <v>131</v>
      </c>
      <c r="C5" t="s">
        <v>130</v>
      </c>
      <c r="D5" t="s">
        <v>16</v>
      </c>
      <c r="E5" t="s">
        <v>19</v>
      </c>
      <c r="F5" t="s">
        <v>31</v>
      </c>
      <c r="G5" t="s">
        <v>132</v>
      </c>
      <c r="H5">
        <v>30</v>
      </c>
      <c r="I5" t="s">
        <v>69</v>
      </c>
      <c r="J5" s="3">
        <v>46268</v>
      </c>
      <c r="K5">
        <v>15</v>
      </c>
      <c r="L5" t="s">
        <v>133</v>
      </c>
      <c r="M5" t="s">
        <v>134</v>
      </c>
      <c r="N5" s="3"/>
      <c r="O5" s="4">
        <v>6</v>
      </c>
      <c r="P5" t="s">
        <v>135</v>
      </c>
      <c r="R5" t="s">
        <v>125</v>
      </c>
    </row>
    <row r="6" spans="1:18" x14ac:dyDescent="0.35">
      <c r="A6" t="s">
        <v>75</v>
      </c>
      <c r="B6" t="s">
        <v>131</v>
      </c>
      <c r="C6" t="s">
        <v>130</v>
      </c>
      <c r="D6" t="s">
        <v>16</v>
      </c>
      <c r="E6" t="s">
        <v>19</v>
      </c>
      <c r="F6" t="s">
        <v>31</v>
      </c>
      <c r="G6" t="s">
        <v>132</v>
      </c>
      <c r="H6">
        <v>30</v>
      </c>
      <c r="I6" t="s">
        <v>69</v>
      </c>
      <c r="J6" s="3">
        <v>46268</v>
      </c>
      <c r="K6">
        <v>15</v>
      </c>
      <c r="L6" t="s">
        <v>133</v>
      </c>
      <c r="M6" t="s">
        <v>134</v>
      </c>
      <c r="N6" s="3"/>
      <c r="O6" s="4">
        <v>6</v>
      </c>
      <c r="P6" t="s">
        <v>135</v>
      </c>
      <c r="R6" t="s">
        <v>125</v>
      </c>
    </row>
    <row r="7" spans="1:18" x14ac:dyDescent="0.35">
      <c r="A7" t="s">
        <v>76</v>
      </c>
      <c r="B7" t="s">
        <v>131</v>
      </c>
      <c r="C7" t="s">
        <v>130</v>
      </c>
      <c r="D7" t="s">
        <v>16</v>
      </c>
      <c r="E7" t="s">
        <v>19</v>
      </c>
      <c r="F7" t="s">
        <v>31</v>
      </c>
      <c r="G7" t="s">
        <v>132</v>
      </c>
      <c r="H7">
        <v>30</v>
      </c>
      <c r="I7" t="s">
        <v>69</v>
      </c>
      <c r="J7" s="3">
        <v>46268</v>
      </c>
      <c r="K7">
        <v>15</v>
      </c>
      <c r="L7" t="s">
        <v>133</v>
      </c>
      <c r="M7" t="s">
        <v>134</v>
      </c>
      <c r="N7" s="3"/>
      <c r="O7" s="4">
        <v>6</v>
      </c>
      <c r="P7" t="s">
        <v>135</v>
      </c>
      <c r="R7" t="s">
        <v>125</v>
      </c>
    </row>
    <row r="8" spans="1:18" x14ac:dyDescent="0.35">
      <c r="A8" t="s">
        <v>77</v>
      </c>
      <c r="B8" t="s">
        <v>136</v>
      </c>
      <c r="C8" t="s">
        <v>137</v>
      </c>
      <c r="D8" t="s">
        <v>16</v>
      </c>
      <c r="E8" t="s">
        <v>19</v>
      </c>
      <c r="F8" t="s">
        <v>31</v>
      </c>
      <c r="G8" t="s">
        <v>138</v>
      </c>
      <c r="H8">
        <v>30</v>
      </c>
      <c r="I8" t="s">
        <v>69</v>
      </c>
      <c r="J8" s="3">
        <v>46146</v>
      </c>
      <c r="K8">
        <v>20</v>
      </c>
      <c r="L8" t="s">
        <v>139</v>
      </c>
      <c r="M8" t="s">
        <v>140</v>
      </c>
      <c r="N8" s="3">
        <v>46147</v>
      </c>
      <c r="O8" s="4">
        <v>12</v>
      </c>
      <c r="P8" t="s">
        <v>66</v>
      </c>
      <c r="R8" t="s">
        <v>125</v>
      </c>
    </row>
    <row r="9" spans="1:18" x14ac:dyDescent="0.35">
      <c r="A9" t="s">
        <v>78</v>
      </c>
      <c r="B9" t="s">
        <v>141</v>
      </c>
      <c r="C9" t="s">
        <v>142</v>
      </c>
      <c r="D9" t="s">
        <v>16</v>
      </c>
      <c r="E9" t="s">
        <v>19</v>
      </c>
      <c r="F9" t="s">
        <v>31</v>
      </c>
      <c r="G9">
        <v>2</v>
      </c>
      <c r="H9">
        <v>30</v>
      </c>
      <c r="I9" t="s">
        <v>69</v>
      </c>
      <c r="J9" s="3">
        <v>45979</v>
      </c>
      <c r="K9">
        <v>20</v>
      </c>
      <c r="L9" t="s">
        <v>139</v>
      </c>
      <c r="M9" t="s">
        <v>143</v>
      </c>
      <c r="N9" s="3">
        <v>45984</v>
      </c>
      <c r="O9" s="4">
        <v>12</v>
      </c>
      <c r="P9" t="s">
        <v>66</v>
      </c>
      <c r="R9" t="s">
        <v>125</v>
      </c>
    </row>
    <row r="10" spans="1:18" x14ac:dyDescent="0.35">
      <c r="A10" t="s">
        <v>79</v>
      </c>
      <c r="B10" t="s">
        <v>144</v>
      </c>
      <c r="C10" t="s">
        <v>145</v>
      </c>
      <c r="D10" t="s">
        <v>16</v>
      </c>
      <c r="E10" t="s">
        <v>19</v>
      </c>
      <c r="F10" t="s">
        <v>31</v>
      </c>
      <c r="G10" t="s">
        <v>146</v>
      </c>
      <c r="H10">
        <v>50</v>
      </c>
      <c r="I10" t="s">
        <v>69</v>
      </c>
      <c r="J10" s="3">
        <v>46090</v>
      </c>
      <c r="K10">
        <v>8.7899999999999991</v>
      </c>
      <c r="L10" t="s">
        <v>150</v>
      </c>
      <c r="M10" t="s">
        <v>134</v>
      </c>
      <c r="N10" s="3">
        <v>46096</v>
      </c>
      <c r="O10" s="4">
        <v>12</v>
      </c>
      <c r="P10" t="s">
        <v>66</v>
      </c>
      <c r="R10" t="s">
        <v>125</v>
      </c>
    </row>
    <row r="11" spans="1:18" x14ac:dyDescent="0.35">
      <c r="A11" t="s">
        <v>80</v>
      </c>
      <c r="B11" t="s">
        <v>147</v>
      </c>
      <c r="C11" t="s">
        <v>148</v>
      </c>
      <c r="D11" t="s">
        <v>44</v>
      </c>
      <c r="E11" t="s">
        <v>43</v>
      </c>
      <c r="F11" t="s">
        <v>43</v>
      </c>
      <c r="G11" t="s">
        <v>149</v>
      </c>
      <c r="H11">
        <v>0.25</v>
      </c>
      <c r="I11" t="s">
        <v>122</v>
      </c>
      <c r="J11" s="3">
        <v>46090</v>
      </c>
      <c r="K11">
        <v>3.79</v>
      </c>
      <c r="L11" t="s">
        <v>150</v>
      </c>
      <c r="M11" t="s">
        <v>134</v>
      </c>
      <c r="N11" s="3">
        <v>46096</v>
      </c>
      <c r="O11" s="4">
        <v>12</v>
      </c>
      <c r="P11" t="s">
        <v>66</v>
      </c>
      <c r="R11" t="s">
        <v>125</v>
      </c>
    </row>
    <row r="12" spans="1:18" x14ac:dyDescent="0.35">
      <c r="A12" t="s">
        <v>81</v>
      </c>
      <c r="B12" t="s">
        <v>151</v>
      </c>
      <c r="C12" t="s">
        <v>152</v>
      </c>
      <c r="D12" t="s">
        <v>16</v>
      </c>
      <c r="E12" t="s">
        <v>19</v>
      </c>
      <c r="F12" t="s">
        <v>30</v>
      </c>
      <c r="G12">
        <v>100</v>
      </c>
      <c r="H12">
        <v>8.9</v>
      </c>
      <c r="I12" t="s">
        <v>122</v>
      </c>
      <c r="J12" s="3">
        <v>46236</v>
      </c>
      <c r="K12">
        <v>10</v>
      </c>
      <c r="L12" t="s">
        <v>153</v>
      </c>
      <c r="M12" t="s">
        <v>134</v>
      </c>
      <c r="N12" s="3">
        <v>46249</v>
      </c>
      <c r="O12" s="4">
        <v>18</v>
      </c>
      <c r="P12" t="s">
        <v>66</v>
      </c>
      <c r="R12" t="s">
        <v>125</v>
      </c>
    </row>
    <row r="13" spans="1:18" x14ac:dyDescent="0.35">
      <c r="A13" t="s">
        <v>82</v>
      </c>
      <c r="B13" t="s">
        <v>164</v>
      </c>
      <c r="C13" t="s">
        <v>154</v>
      </c>
      <c r="D13" t="s">
        <v>16</v>
      </c>
      <c r="E13" t="s">
        <v>20</v>
      </c>
      <c r="F13" t="s">
        <v>31</v>
      </c>
      <c r="G13">
        <v>100</v>
      </c>
      <c r="H13">
        <v>10</v>
      </c>
      <c r="I13" t="s">
        <v>69</v>
      </c>
      <c r="J13" s="3">
        <v>46223</v>
      </c>
      <c r="K13">
        <v>5.5</v>
      </c>
      <c r="L13" t="s">
        <v>160</v>
      </c>
      <c r="M13" t="s">
        <v>143</v>
      </c>
      <c r="N13" s="3">
        <v>46224</v>
      </c>
      <c r="O13" s="4">
        <v>12</v>
      </c>
      <c r="P13" t="s">
        <v>66</v>
      </c>
      <c r="R13" t="s">
        <v>125</v>
      </c>
    </row>
    <row r="14" spans="1:18" x14ac:dyDescent="0.35">
      <c r="A14" t="s">
        <v>83</v>
      </c>
      <c r="B14" t="s">
        <v>161</v>
      </c>
      <c r="C14" t="s">
        <v>155</v>
      </c>
      <c r="D14" t="s">
        <v>16</v>
      </c>
      <c r="E14" t="s">
        <v>20</v>
      </c>
      <c r="F14" t="s">
        <v>31</v>
      </c>
      <c r="G14" t="s">
        <v>163</v>
      </c>
      <c r="H14">
        <v>6</v>
      </c>
      <c r="I14" t="s">
        <v>69</v>
      </c>
      <c r="J14" s="3">
        <v>45940</v>
      </c>
      <c r="K14">
        <v>12</v>
      </c>
      <c r="L14" t="s">
        <v>162</v>
      </c>
      <c r="M14" t="s">
        <v>64</v>
      </c>
      <c r="N14" s="3">
        <v>45940</v>
      </c>
      <c r="O14" s="4">
        <v>6</v>
      </c>
      <c r="P14" t="s">
        <v>66</v>
      </c>
      <c r="R14" t="s">
        <v>125</v>
      </c>
    </row>
    <row r="15" spans="1:18" x14ac:dyDescent="0.35">
      <c r="A15" t="s">
        <v>84</v>
      </c>
      <c r="B15" t="s">
        <v>165</v>
      </c>
      <c r="C15" t="s">
        <v>142</v>
      </c>
      <c r="D15" t="s">
        <v>16</v>
      </c>
      <c r="E15" t="s">
        <v>20</v>
      </c>
      <c r="F15" t="s">
        <v>31</v>
      </c>
      <c r="G15" t="s">
        <v>166</v>
      </c>
      <c r="H15">
        <v>6.8</v>
      </c>
      <c r="I15" t="s">
        <v>69</v>
      </c>
      <c r="J15" s="3">
        <v>45894</v>
      </c>
      <c r="K15">
        <v>12.49</v>
      </c>
      <c r="L15" t="s">
        <v>160</v>
      </c>
      <c r="M15" t="s">
        <v>143</v>
      </c>
      <c r="N15" s="3">
        <v>45899</v>
      </c>
      <c r="O15" s="4">
        <v>6</v>
      </c>
      <c r="P15" t="s">
        <v>66</v>
      </c>
      <c r="R15" t="s">
        <v>125</v>
      </c>
    </row>
    <row r="16" spans="1:18" x14ac:dyDescent="0.35">
      <c r="A16" t="s">
        <v>85</v>
      </c>
      <c r="B16" t="s">
        <v>169</v>
      </c>
      <c r="C16" t="s">
        <v>156</v>
      </c>
      <c r="D16" t="s">
        <v>16</v>
      </c>
      <c r="E16" t="s">
        <v>20</v>
      </c>
      <c r="F16" t="s">
        <v>31</v>
      </c>
      <c r="G16" t="s">
        <v>170</v>
      </c>
      <c r="H16">
        <v>9.6</v>
      </c>
      <c r="I16" t="s">
        <v>69</v>
      </c>
      <c r="J16" s="3">
        <v>45687</v>
      </c>
      <c r="K16">
        <v>15</v>
      </c>
      <c r="L16" t="s">
        <v>160</v>
      </c>
      <c r="M16" t="s">
        <v>143</v>
      </c>
      <c r="N16" s="3">
        <v>45687</v>
      </c>
      <c r="O16" s="4">
        <v>6</v>
      </c>
      <c r="P16" t="s">
        <v>66</v>
      </c>
      <c r="R16" t="s">
        <v>125</v>
      </c>
    </row>
    <row r="17" spans="1:18" x14ac:dyDescent="0.35">
      <c r="A17" t="s">
        <v>86</v>
      </c>
      <c r="B17" t="s">
        <v>167</v>
      </c>
      <c r="C17" t="s">
        <v>156</v>
      </c>
      <c r="D17" t="s">
        <v>16</v>
      </c>
      <c r="E17" t="s">
        <v>20</v>
      </c>
      <c r="F17" t="s">
        <v>30</v>
      </c>
      <c r="G17" t="s">
        <v>168</v>
      </c>
      <c r="H17">
        <v>1.6</v>
      </c>
      <c r="I17" t="s">
        <v>122</v>
      </c>
      <c r="J17" s="3">
        <v>45703</v>
      </c>
      <c r="K17">
        <v>7</v>
      </c>
      <c r="L17" t="s">
        <v>160</v>
      </c>
      <c r="M17" t="s">
        <v>64</v>
      </c>
      <c r="N17" s="3">
        <v>45703</v>
      </c>
      <c r="O17" s="4">
        <v>18</v>
      </c>
      <c r="P17" t="s">
        <v>66</v>
      </c>
      <c r="R17" t="s">
        <v>125</v>
      </c>
    </row>
    <row r="18" spans="1:18" x14ac:dyDescent="0.35">
      <c r="A18" t="s">
        <v>87</v>
      </c>
      <c r="B18" t="s">
        <v>158</v>
      </c>
      <c r="C18" t="s">
        <v>157</v>
      </c>
      <c r="D18" t="s">
        <v>16</v>
      </c>
      <c r="E18" t="s">
        <v>20</v>
      </c>
      <c r="F18" t="s">
        <v>36</v>
      </c>
      <c r="G18" t="s">
        <v>159</v>
      </c>
      <c r="H18">
        <v>4.2</v>
      </c>
      <c r="I18" t="s">
        <v>122</v>
      </c>
      <c r="J18" s="3">
        <v>46122</v>
      </c>
      <c r="K18">
        <v>7.22</v>
      </c>
      <c r="L18" t="s">
        <v>160</v>
      </c>
      <c r="M18" t="s">
        <v>176</v>
      </c>
      <c r="N18" s="3">
        <v>46122</v>
      </c>
      <c r="O18" s="4">
        <v>6</v>
      </c>
      <c r="P18" t="s">
        <v>66</v>
      </c>
      <c r="R18" t="s">
        <v>125</v>
      </c>
    </row>
    <row r="19" spans="1:18" x14ac:dyDescent="0.35">
      <c r="A19" t="s">
        <v>88</v>
      </c>
      <c r="B19" t="s">
        <v>165</v>
      </c>
      <c r="C19" t="s">
        <v>142</v>
      </c>
      <c r="D19" t="s">
        <v>16</v>
      </c>
      <c r="E19" t="s">
        <v>20</v>
      </c>
      <c r="F19" t="s">
        <v>31</v>
      </c>
      <c r="G19" t="s">
        <v>171</v>
      </c>
      <c r="H19">
        <v>6.8</v>
      </c>
      <c r="I19" t="s">
        <v>69</v>
      </c>
      <c r="J19" s="3">
        <v>45894</v>
      </c>
      <c r="K19">
        <v>12.49</v>
      </c>
      <c r="L19" t="s">
        <v>160</v>
      </c>
      <c r="M19" t="s">
        <v>143</v>
      </c>
      <c r="N19" s="3">
        <v>45899</v>
      </c>
      <c r="O19" s="4">
        <v>6</v>
      </c>
      <c r="P19" t="s">
        <v>66</v>
      </c>
      <c r="R19" t="s">
        <v>125</v>
      </c>
    </row>
    <row r="20" spans="1:18" x14ac:dyDescent="0.35">
      <c r="A20" t="s">
        <v>89</v>
      </c>
      <c r="B20" t="s">
        <v>172</v>
      </c>
      <c r="C20" t="s">
        <v>173</v>
      </c>
      <c r="D20" t="s">
        <v>16</v>
      </c>
      <c r="E20" t="s">
        <v>22</v>
      </c>
      <c r="F20" t="s">
        <v>36</v>
      </c>
      <c r="G20" t="s">
        <v>174</v>
      </c>
      <c r="H20">
        <v>10</v>
      </c>
      <c r="I20" t="s">
        <v>69</v>
      </c>
      <c r="J20" s="3">
        <v>45626</v>
      </c>
      <c r="K20">
        <v>75</v>
      </c>
      <c r="L20" t="s">
        <v>175</v>
      </c>
      <c r="M20" t="s">
        <v>176</v>
      </c>
      <c r="N20" s="3">
        <v>45626</v>
      </c>
      <c r="O20" s="4">
        <v>18</v>
      </c>
      <c r="P20" t="s">
        <v>66</v>
      </c>
      <c r="R20" t="s">
        <v>125</v>
      </c>
    </row>
    <row r="21" spans="1:18" x14ac:dyDescent="0.35">
      <c r="A21" t="s">
        <v>90</v>
      </c>
      <c r="B21" t="s">
        <v>177</v>
      </c>
      <c r="C21" t="s">
        <v>137</v>
      </c>
      <c r="D21" t="s">
        <v>16</v>
      </c>
      <c r="E21" t="s">
        <v>22</v>
      </c>
      <c r="F21" t="s">
        <v>30</v>
      </c>
      <c r="G21" t="s">
        <v>178</v>
      </c>
      <c r="H21">
        <v>5</v>
      </c>
      <c r="I21" t="s">
        <v>122</v>
      </c>
      <c r="J21" s="3">
        <v>45483</v>
      </c>
      <c r="K21">
        <v>18</v>
      </c>
      <c r="L21" t="s">
        <v>160</v>
      </c>
      <c r="M21" t="s">
        <v>176</v>
      </c>
      <c r="N21" s="3">
        <v>46221</v>
      </c>
      <c r="O21" s="4">
        <v>24</v>
      </c>
      <c r="P21" t="s">
        <v>66</v>
      </c>
      <c r="R21" t="s">
        <v>125</v>
      </c>
    </row>
    <row r="22" spans="1:18" x14ac:dyDescent="0.35">
      <c r="A22" t="s">
        <v>91</v>
      </c>
      <c r="B22" t="s">
        <v>179</v>
      </c>
      <c r="C22" t="s">
        <v>137</v>
      </c>
      <c r="D22" t="s">
        <v>44</v>
      </c>
      <c r="E22" t="s">
        <v>43</v>
      </c>
      <c r="F22" t="s">
        <v>43</v>
      </c>
      <c r="G22" t="s">
        <v>180</v>
      </c>
      <c r="H22">
        <v>1</v>
      </c>
      <c r="I22" t="s">
        <v>69</v>
      </c>
      <c r="J22" s="3">
        <v>46238</v>
      </c>
      <c r="K22">
        <v>14.99</v>
      </c>
      <c r="L22" t="s">
        <v>160</v>
      </c>
      <c r="M22" t="s">
        <v>143</v>
      </c>
      <c r="N22" s="3">
        <v>46244</v>
      </c>
      <c r="O22" s="4">
        <v>6</v>
      </c>
      <c r="P22" t="s">
        <v>66</v>
      </c>
      <c r="R22" t="s">
        <v>125</v>
      </c>
    </row>
    <row r="23" spans="1:18" x14ac:dyDescent="0.35">
      <c r="A23" t="s">
        <v>92</v>
      </c>
      <c r="B23" t="s">
        <v>181</v>
      </c>
      <c r="C23" t="s">
        <v>156</v>
      </c>
      <c r="D23" t="s">
        <v>16</v>
      </c>
      <c r="E23" t="s">
        <v>182</v>
      </c>
      <c r="F23" t="s">
        <v>31</v>
      </c>
      <c r="G23" t="s">
        <v>198</v>
      </c>
      <c r="H23">
        <v>30</v>
      </c>
      <c r="I23" t="s">
        <v>69</v>
      </c>
      <c r="J23" s="3">
        <v>45352</v>
      </c>
      <c r="K23">
        <v>14.97</v>
      </c>
      <c r="L23" t="s">
        <v>160</v>
      </c>
      <c r="M23" t="s">
        <v>176</v>
      </c>
      <c r="N23" s="3">
        <v>45352</v>
      </c>
      <c r="O23" s="4">
        <v>12</v>
      </c>
      <c r="P23" t="s">
        <v>66</v>
      </c>
      <c r="R23" t="s">
        <v>125</v>
      </c>
    </row>
    <row r="24" spans="1:18" x14ac:dyDescent="0.35">
      <c r="A24" t="s">
        <v>93</v>
      </c>
      <c r="B24" t="s">
        <v>37</v>
      </c>
      <c r="C24" t="s">
        <v>183</v>
      </c>
      <c r="D24" t="s">
        <v>16</v>
      </c>
      <c r="E24" t="s">
        <v>37</v>
      </c>
      <c r="F24" t="s">
        <v>36</v>
      </c>
      <c r="G24" t="s">
        <v>132</v>
      </c>
      <c r="H24">
        <v>6.7</v>
      </c>
      <c r="I24" t="s">
        <v>122</v>
      </c>
      <c r="J24" s="3">
        <v>45352</v>
      </c>
      <c r="K24">
        <v>14</v>
      </c>
      <c r="L24" t="s">
        <v>160</v>
      </c>
      <c r="M24" t="s">
        <v>143</v>
      </c>
      <c r="N24" s="3">
        <v>45352</v>
      </c>
      <c r="O24" s="4">
        <v>12</v>
      </c>
      <c r="P24" t="s">
        <v>66</v>
      </c>
      <c r="R24" t="s">
        <v>125</v>
      </c>
    </row>
    <row r="25" spans="1:18" x14ac:dyDescent="0.35">
      <c r="A25" t="s">
        <v>94</v>
      </c>
      <c r="B25" t="s">
        <v>184</v>
      </c>
      <c r="C25" t="s">
        <v>142</v>
      </c>
      <c r="D25" t="s">
        <v>16</v>
      </c>
      <c r="E25" t="s">
        <v>37</v>
      </c>
      <c r="F25" t="s">
        <v>30</v>
      </c>
      <c r="G25">
        <v>30</v>
      </c>
      <c r="H25">
        <v>6</v>
      </c>
      <c r="I25" t="s">
        <v>122</v>
      </c>
      <c r="J25" s="3">
        <v>45940</v>
      </c>
      <c r="K25">
        <v>14.99</v>
      </c>
      <c r="L25" t="s">
        <v>160</v>
      </c>
      <c r="M25" t="s">
        <v>176</v>
      </c>
      <c r="N25" s="3">
        <v>45945</v>
      </c>
      <c r="O25" s="4">
        <v>24</v>
      </c>
      <c r="P25" t="s">
        <v>66</v>
      </c>
      <c r="R25" t="s">
        <v>125</v>
      </c>
    </row>
    <row r="26" spans="1:18" x14ac:dyDescent="0.35">
      <c r="A26" t="s">
        <v>95</v>
      </c>
      <c r="B26" t="s">
        <v>191</v>
      </c>
      <c r="C26" t="s">
        <v>185</v>
      </c>
      <c r="D26" t="s">
        <v>16</v>
      </c>
      <c r="E26" t="s">
        <v>21</v>
      </c>
      <c r="F26" t="s">
        <v>30</v>
      </c>
      <c r="G26" t="s">
        <v>189</v>
      </c>
      <c r="H26">
        <v>2.5</v>
      </c>
      <c r="I26" t="s">
        <v>122</v>
      </c>
      <c r="J26" s="3">
        <v>45991</v>
      </c>
      <c r="K26">
        <v>43</v>
      </c>
      <c r="L26" t="s">
        <v>175</v>
      </c>
      <c r="M26" t="s">
        <v>176</v>
      </c>
      <c r="N26" s="3">
        <v>45992</v>
      </c>
      <c r="O26" s="4">
        <v>18</v>
      </c>
      <c r="P26" t="s">
        <v>66</v>
      </c>
      <c r="R26" t="s">
        <v>125</v>
      </c>
    </row>
    <row r="27" spans="1:18" x14ac:dyDescent="0.35">
      <c r="A27" t="s">
        <v>96</v>
      </c>
      <c r="B27" t="s">
        <v>187</v>
      </c>
      <c r="C27" t="s">
        <v>155</v>
      </c>
      <c r="D27" t="s">
        <v>16</v>
      </c>
      <c r="E27" t="s">
        <v>21</v>
      </c>
      <c r="F27" t="s">
        <v>30</v>
      </c>
      <c r="G27" t="s">
        <v>190</v>
      </c>
      <c r="H27">
        <v>5.5</v>
      </c>
      <c r="I27" t="s">
        <v>122</v>
      </c>
      <c r="J27" s="3">
        <v>45818</v>
      </c>
      <c r="K27">
        <v>5.5</v>
      </c>
      <c r="L27" t="s">
        <v>160</v>
      </c>
      <c r="M27" t="s">
        <v>176</v>
      </c>
      <c r="N27" s="3">
        <v>45819</v>
      </c>
      <c r="O27" s="4">
        <v>12</v>
      </c>
      <c r="P27" t="s">
        <v>66</v>
      </c>
      <c r="R27" t="s">
        <v>125</v>
      </c>
    </row>
    <row r="28" spans="1:18" x14ac:dyDescent="0.35">
      <c r="A28" t="s">
        <v>97</v>
      </c>
      <c r="B28" t="s">
        <v>188</v>
      </c>
      <c r="C28" t="s">
        <v>186</v>
      </c>
      <c r="D28" t="s">
        <v>16</v>
      </c>
      <c r="E28" t="s">
        <v>21</v>
      </c>
      <c r="F28" t="s">
        <v>36</v>
      </c>
      <c r="G28" t="s">
        <v>192</v>
      </c>
      <c r="H28">
        <v>5</v>
      </c>
      <c r="I28" t="s">
        <v>122</v>
      </c>
      <c r="J28" s="3">
        <v>46095</v>
      </c>
      <c r="K28">
        <v>17.260000000000002</v>
      </c>
      <c r="L28" t="s">
        <v>193</v>
      </c>
      <c r="M28" t="s">
        <v>176</v>
      </c>
      <c r="N28" s="3">
        <v>46095</v>
      </c>
      <c r="O28" s="4">
        <v>30</v>
      </c>
      <c r="P28" t="s">
        <v>66</v>
      </c>
      <c r="R28" t="s">
        <v>125</v>
      </c>
    </row>
    <row r="29" spans="1:18" x14ac:dyDescent="0.35">
      <c r="A29" t="s">
        <v>98</v>
      </c>
      <c r="B29" t="s">
        <v>194</v>
      </c>
      <c r="C29" t="s">
        <v>156</v>
      </c>
      <c r="D29" t="s">
        <v>16</v>
      </c>
      <c r="E29" t="s">
        <v>37</v>
      </c>
      <c r="F29" t="s">
        <v>33</v>
      </c>
      <c r="G29" t="s">
        <v>196</v>
      </c>
      <c r="H29">
        <v>5</v>
      </c>
      <c r="I29" t="s">
        <v>122</v>
      </c>
      <c r="J29" s="3">
        <v>46193</v>
      </c>
      <c r="K29">
        <v>16.7</v>
      </c>
      <c r="L29" t="s">
        <v>160</v>
      </c>
      <c r="M29" t="s">
        <v>64</v>
      </c>
      <c r="N29" s="3">
        <v>46195</v>
      </c>
      <c r="O29" s="4">
        <v>6</v>
      </c>
      <c r="P29" t="s">
        <v>66</v>
      </c>
      <c r="R29" t="s">
        <v>125</v>
      </c>
    </row>
    <row r="30" spans="1:18" x14ac:dyDescent="0.35">
      <c r="A30" t="s">
        <v>99</v>
      </c>
      <c r="B30" t="s">
        <v>195</v>
      </c>
      <c r="C30" t="s">
        <v>201</v>
      </c>
      <c r="D30" t="s">
        <v>16</v>
      </c>
      <c r="E30" t="s">
        <v>37</v>
      </c>
      <c r="F30" t="s">
        <v>33</v>
      </c>
      <c r="G30" t="s">
        <v>197</v>
      </c>
      <c r="H30">
        <v>8</v>
      </c>
      <c r="I30" t="s">
        <v>122</v>
      </c>
      <c r="J30" s="3">
        <v>43823</v>
      </c>
      <c r="K30">
        <v>65</v>
      </c>
      <c r="L30" t="s">
        <v>198</v>
      </c>
      <c r="M30" t="s">
        <v>140</v>
      </c>
      <c r="N30" s="3">
        <v>43824</v>
      </c>
      <c r="O30" s="4">
        <v>12</v>
      </c>
      <c r="P30" t="s">
        <v>66</v>
      </c>
      <c r="R30" t="s">
        <v>125</v>
      </c>
    </row>
    <row r="31" spans="1:18" x14ac:dyDescent="0.35">
      <c r="A31" t="s">
        <v>100</v>
      </c>
      <c r="B31" t="s">
        <v>199</v>
      </c>
      <c r="C31" t="s">
        <v>202</v>
      </c>
      <c r="D31" t="s">
        <v>16</v>
      </c>
      <c r="E31" t="s">
        <v>21</v>
      </c>
      <c r="F31" t="s">
        <v>33</v>
      </c>
      <c r="G31" t="s">
        <v>203</v>
      </c>
      <c r="H31">
        <v>2</v>
      </c>
      <c r="I31" t="s">
        <v>122</v>
      </c>
      <c r="J31" s="3">
        <v>45963</v>
      </c>
      <c r="K31">
        <v>20</v>
      </c>
      <c r="L31" t="s">
        <v>175</v>
      </c>
      <c r="M31" t="s">
        <v>134</v>
      </c>
      <c r="N31" s="3">
        <v>45964</v>
      </c>
      <c r="O31" s="4">
        <v>12</v>
      </c>
      <c r="P31" t="s">
        <v>66</v>
      </c>
      <c r="R31" t="s">
        <v>125</v>
      </c>
    </row>
    <row r="32" spans="1:18" x14ac:dyDescent="0.35">
      <c r="A32" t="s">
        <v>101</v>
      </c>
      <c r="B32" t="s">
        <v>199</v>
      </c>
      <c r="C32" t="s">
        <v>202</v>
      </c>
      <c r="D32" t="s">
        <v>16</v>
      </c>
      <c r="E32" t="s">
        <v>21</v>
      </c>
      <c r="F32" t="s">
        <v>33</v>
      </c>
      <c r="G32" t="s">
        <v>204</v>
      </c>
      <c r="H32">
        <v>2</v>
      </c>
      <c r="I32" t="s">
        <v>122</v>
      </c>
      <c r="J32" s="3">
        <v>45963</v>
      </c>
      <c r="K32">
        <v>20</v>
      </c>
      <c r="L32" t="s">
        <v>175</v>
      </c>
      <c r="M32" t="s">
        <v>134</v>
      </c>
      <c r="N32" s="3">
        <v>45964</v>
      </c>
      <c r="O32" s="4">
        <v>12</v>
      </c>
      <c r="P32" t="s">
        <v>66</v>
      </c>
      <c r="R32" t="s">
        <v>125</v>
      </c>
    </row>
    <row r="33" spans="1:18" x14ac:dyDescent="0.35">
      <c r="A33" t="s">
        <v>102</v>
      </c>
      <c r="B33" t="s">
        <v>199</v>
      </c>
      <c r="C33" t="s">
        <v>202</v>
      </c>
      <c r="D33" t="s">
        <v>16</v>
      </c>
      <c r="E33" t="s">
        <v>21</v>
      </c>
      <c r="F33" t="s">
        <v>33</v>
      </c>
      <c r="G33" t="s">
        <v>206</v>
      </c>
      <c r="H33">
        <v>2</v>
      </c>
      <c r="I33" t="s">
        <v>122</v>
      </c>
      <c r="J33" s="3">
        <v>45963</v>
      </c>
      <c r="K33">
        <v>20</v>
      </c>
      <c r="L33" t="s">
        <v>175</v>
      </c>
      <c r="M33" t="s">
        <v>134</v>
      </c>
      <c r="N33" s="3">
        <v>45964</v>
      </c>
      <c r="O33" s="4">
        <v>12</v>
      </c>
      <c r="P33" t="s">
        <v>66</v>
      </c>
      <c r="R33" t="s">
        <v>125</v>
      </c>
    </row>
    <row r="34" spans="1:18" x14ac:dyDescent="0.35">
      <c r="A34" t="s">
        <v>103</v>
      </c>
      <c r="B34" t="s">
        <v>200</v>
      </c>
      <c r="C34" t="s">
        <v>200</v>
      </c>
      <c r="D34" t="s">
        <v>16</v>
      </c>
      <c r="E34" t="s">
        <v>21</v>
      </c>
      <c r="F34" t="s">
        <v>33</v>
      </c>
      <c r="G34" t="s">
        <v>205</v>
      </c>
      <c r="H34">
        <v>3.5</v>
      </c>
      <c r="I34" t="s">
        <v>122</v>
      </c>
      <c r="J34" s="3">
        <v>43823</v>
      </c>
      <c r="K34">
        <v>30</v>
      </c>
      <c r="L34" t="s">
        <v>207</v>
      </c>
      <c r="M34" t="s">
        <v>176</v>
      </c>
      <c r="N34" s="3">
        <v>43824</v>
      </c>
      <c r="O34" s="4">
        <v>24</v>
      </c>
      <c r="P34" t="s">
        <v>66</v>
      </c>
      <c r="R34" t="s">
        <v>125</v>
      </c>
    </row>
    <row r="35" spans="1:18" x14ac:dyDescent="0.35">
      <c r="A35" t="s">
        <v>104</v>
      </c>
      <c r="B35" t="s">
        <v>208</v>
      </c>
      <c r="C35" t="s">
        <v>142</v>
      </c>
      <c r="D35" t="s">
        <v>16</v>
      </c>
      <c r="E35" t="s">
        <v>33</v>
      </c>
      <c r="F35" t="s">
        <v>34</v>
      </c>
      <c r="G35" t="s">
        <v>209</v>
      </c>
      <c r="H35">
        <v>20</v>
      </c>
      <c r="I35" t="s">
        <v>122</v>
      </c>
      <c r="J35" s="3">
        <v>45280</v>
      </c>
      <c r="K35">
        <v>11.49</v>
      </c>
      <c r="L35" t="s">
        <v>211</v>
      </c>
      <c r="M35" t="s">
        <v>176</v>
      </c>
      <c r="N35" s="3">
        <v>45282</v>
      </c>
      <c r="O35" s="4">
        <v>24</v>
      </c>
      <c r="P35" t="s">
        <v>66</v>
      </c>
      <c r="R35" t="s">
        <v>125</v>
      </c>
    </row>
    <row r="36" spans="1:18" x14ac:dyDescent="0.35">
      <c r="A36" t="s">
        <v>105</v>
      </c>
      <c r="B36" t="s">
        <v>208</v>
      </c>
      <c r="C36" t="s">
        <v>142</v>
      </c>
      <c r="D36" t="s">
        <v>16</v>
      </c>
      <c r="E36" t="s">
        <v>33</v>
      </c>
      <c r="F36" t="s">
        <v>34</v>
      </c>
      <c r="G36" t="s">
        <v>210</v>
      </c>
      <c r="H36">
        <v>20</v>
      </c>
      <c r="I36" t="s">
        <v>122</v>
      </c>
      <c r="J36" s="3">
        <v>45432</v>
      </c>
      <c r="K36">
        <v>11.49</v>
      </c>
      <c r="L36" t="s">
        <v>139</v>
      </c>
      <c r="M36" t="s">
        <v>176</v>
      </c>
      <c r="N36" s="3">
        <v>45442</v>
      </c>
      <c r="O36" s="4">
        <v>24</v>
      </c>
      <c r="P36" t="s">
        <v>66</v>
      </c>
      <c r="R36" t="s">
        <v>125</v>
      </c>
    </row>
    <row r="37" spans="1:18" x14ac:dyDescent="0.35">
      <c r="A37" t="s">
        <v>106</v>
      </c>
      <c r="B37" t="s">
        <v>208</v>
      </c>
      <c r="C37" t="s">
        <v>142</v>
      </c>
      <c r="D37" t="s">
        <v>16</v>
      </c>
      <c r="E37" t="s">
        <v>33</v>
      </c>
      <c r="F37" t="s">
        <v>35</v>
      </c>
      <c r="G37" t="s">
        <v>212</v>
      </c>
      <c r="H37">
        <v>8.5</v>
      </c>
      <c r="I37" t="s">
        <v>122</v>
      </c>
      <c r="J37" s="3">
        <v>45280</v>
      </c>
      <c r="K37">
        <v>9.99</v>
      </c>
      <c r="L37" t="s">
        <v>211</v>
      </c>
      <c r="M37" t="s">
        <v>176</v>
      </c>
      <c r="N37" s="3">
        <v>45282</v>
      </c>
      <c r="O37" s="4">
        <v>24</v>
      </c>
      <c r="P37" t="s">
        <v>66</v>
      </c>
      <c r="R37" t="s">
        <v>125</v>
      </c>
    </row>
    <row r="38" spans="1:18" x14ac:dyDescent="0.35">
      <c r="A38" t="s">
        <v>107</v>
      </c>
      <c r="B38" t="s">
        <v>208</v>
      </c>
      <c r="C38" t="s">
        <v>142</v>
      </c>
      <c r="D38" t="s">
        <v>16</v>
      </c>
      <c r="E38" t="s">
        <v>33</v>
      </c>
      <c r="F38" t="s">
        <v>35</v>
      </c>
      <c r="G38" t="s">
        <v>213</v>
      </c>
      <c r="H38">
        <v>8.5</v>
      </c>
      <c r="I38" t="s">
        <v>122</v>
      </c>
      <c r="J38" s="3">
        <v>45432</v>
      </c>
      <c r="K38">
        <v>9.99</v>
      </c>
      <c r="L38" t="s">
        <v>139</v>
      </c>
      <c r="M38" t="s">
        <v>176</v>
      </c>
      <c r="N38" s="3">
        <v>45442</v>
      </c>
      <c r="O38" s="4">
        <v>24</v>
      </c>
      <c r="P38" t="s">
        <v>66</v>
      </c>
      <c r="R38" t="s">
        <v>125</v>
      </c>
    </row>
    <row r="39" spans="1:18" x14ac:dyDescent="0.35">
      <c r="A39" t="s">
        <v>108</v>
      </c>
      <c r="B39" t="s">
        <v>215</v>
      </c>
      <c r="C39" t="s">
        <v>214</v>
      </c>
      <c r="D39" t="s">
        <v>16</v>
      </c>
      <c r="E39" t="s">
        <v>33</v>
      </c>
      <c r="F39" t="s">
        <v>35</v>
      </c>
      <c r="G39" t="s">
        <v>216</v>
      </c>
      <c r="H39">
        <v>0.8</v>
      </c>
      <c r="I39" t="s">
        <v>122</v>
      </c>
      <c r="J39" s="3">
        <v>46013</v>
      </c>
      <c r="K39">
        <v>6</v>
      </c>
      <c r="L39" t="s">
        <v>211</v>
      </c>
      <c r="M39" t="s">
        <v>143</v>
      </c>
      <c r="N39" s="3">
        <v>46013</v>
      </c>
      <c r="O39" s="4">
        <v>24</v>
      </c>
      <c r="P39" t="s">
        <v>66</v>
      </c>
      <c r="R39" t="s">
        <v>125</v>
      </c>
    </row>
    <row r="40" spans="1:18" x14ac:dyDescent="0.35">
      <c r="A40" t="s">
        <v>109</v>
      </c>
      <c r="B40" t="s">
        <v>217</v>
      </c>
      <c r="C40" t="s">
        <v>173</v>
      </c>
      <c r="D40" t="s">
        <v>16</v>
      </c>
      <c r="E40" t="s">
        <v>38</v>
      </c>
      <c r="F40" t="s">
        <v>35</v>
      </c>
      <c r="G40" t="s">
        <v>221</v>
      </c>
      <c r="H40">
        <v>22</v>
      </c>
      <c r="I40" t="s">
        <v>122</v>
      </c>
      <c r="J40" s="3">
        <v>45939</v>
      </c>
      <c r="K40">
        <v>111</v>
      </c>
      <c r="L40" t="s">
        <v>175</v>
      </c>
      <c r="M40" t="s">
        <v>176</v>
      </c>
      <c r="N40" s="3">
        <v>45940</v>
      </c>
      <c r="O40" s="4">
        <v>18</v>
      </c>
      <c r="P40" t="s">
        <v>66</v>
      </c>
      <c r="R40" t="s">
        <v>125</v>
      </c>
    </row>
    <row r="41" spans="1:18" x14ac:dyDescent="0.35">
      <c r="A41" t="s">
        <v>110</v>
      </c>
      <c r="B41" t="s">
        <v>218</v>
      </c>
      <c r="C41" t="s">
        <v>173</v>
      </c>
      <c r="D41" t="s">
        <v>16</v>
      </c>
      <c r="E41" t="s">
        <v>38</v>
      </c>
      <c r="F41" t="s">
        <v>35</v>
      </c>
      <c r="G41" t="s">
        <v>222</v>
      </c>
      <c r="H41">
        <v>22</v>
      </c>
      <c r="I41" t="s">
        <v>122</v>
      </c>
      <c r="J41" s="3">
        <v>45940</v>
      </c>
      <c r="K41">
        <v>111</v>
      </c>
      <c r="L41" t="s">
        <v>175</v>
      </c>
      <c r="M41" t="s">
        <v>64</v>
      </c>
      <c r="N41" s="3">
        <v>45940</v>
      </c>
      <c r="O41" s="4">
        <v>18</v>
      </c>
      <c r="P41" t="s">
        <v>66</v>
      </c>
      <c r="R41" t="s">
        <v>125</v>
      </c>
    </row>
    <row r="42" spans="1:18" x14ac:dyDescent="0.35">
      <c r="A42" t="s">
        <v>111</v>
      </c>
      <c r="B42" t="s">
        <v>219</v>
      </c>
      <c r="C42" t="s">
        <v>220</v>
      </c>
      <c r="D42" t="s">
        <v>16</v>
      </c>
      <c r="E42" t="s">
        <v>38</v>
      </c>
      <c r="F42" t="s">
        <v>35</v>
      </c>
      <c r="G42" t="s">
        <v>221</v>
      </c>
      <c r="H42">
        <f>1.4*6</f>
        <v>8.3999999999999986</v>
      </c>
      <c r="I42" t="s">
        <v>122</v>
      </c>
      <c r="J42" s="3">
        <v>45945</v>
      </c>
      <c r="K42">
        <v>160</v>
      </c>
      <c r="L42" t="s">
        <v>175</v>
      </c>
      <c r="M42" t="s">
        <v>140</v>
      </c>
      <c r="N42" s="3">
        <v>45945</v>
      </c>
      <c r="O42" s="4">
        <v>12</v>
      </c>
      <c r="P42" t="s">
        <v>66</v>
      </c>
      <c r="R42" t="s">
        <v>125</v>
      </c>
    </row>
    <row r="43" spans="1:18" x14ac:dyDescent="0.35">
      <c r="A43" t="s">
        <v>112</v>
      </c>
      <c r="B43" t="s">
        <v>223</v>
      </c>
      <c r="C43" t="s">
        <v>155</v>
      </c>
      <c r="D43" t="s">
        <v>44</v>
      </c>
      <c r="E43" t="s">
        <v>43</v>
      </c>
      <c r="F43" t="s">
        <v>43</v>
      </c>
      <c r="G43" t="s">
        <v>224</v>
      </c>
      <c r="H43">
        <v>0.05</v>
      </c>
      <c r="I43" t="s">
        <v>122</v>
      </c>
      <c r="J43" s="3">
        <v>45971</v>
      </c>
      <c r="K43">
        <v>16</v>
      </c>
      <c r="L43" t="s">
        <v>160</v>
      </c>
      <c r="M43" t="s">
        <v>176</v>
      </c>
      <c r="N43" s="3">
        <v>45972</v>
      </c>
      <c r="O43" s="4">
        <v>12</v>
      </c>
      <c r="P43" t="s">
        <v>66</v>
      </c>
      <c r="R43" t="s">
        <v>125</v>
      </c>
    </row>
    <row r="44" spans="1:18" x14ac:dyDescent="0.35">
      <c r="A44" t="s">
        <v>113</v>
      </c>
      <c r="B44" t="s">
        <v>226</v>
      </c>
      <c r="C44" t="s">
        <v>142</v>
      </c>
      <c r="D44" t="s">
        <v>14</v>
      </c>
      <c r="E44" t="s">
        <v>225</v>
      </c>
      <c r="F44" t="s">
        <v>43</v>
      </c>
      <c r="G44" t="s">
        <v>227</v>
      </c>
      <c r="H44">
        <v>5.8</v>
      </c>
      <c r="I44" t="s">
        <v>122</v>
      </c>
      <c r="J44" s="3">
        <v>46083</v>
      </c>
      <c r="K44">
        <v>9.99</v>
      </c>
      <c r="L44" t="s">
        <v>229</v>
      </c>
      <c r="M44" t="s">
        <v>176</v>
      </c>
      <c r="N44" s="3">
        <v>46086</v>
      </c>
      <c r="O44" s="4">
        <v>24</v>
      </c>
      <c r="P44" t="s">
        <v>66</v>
      </c>
      <c r="R44" t="s">
        <v>125</v>
      </c>
    </row>
    <row r="45" spans="1:18" x14ac:dyDescent="0.35">
      <c r="A45" t="s">
        <v>114</v>
      </c>
      <c r="B45" t="s">
        <v>225</v>
      </c>
      <c r="C45" t="s">
        <v>214</v>
      </c>
      <c r="D45" t="s">
        <v>14</v>
      </c>
      <c r="E45" t="s">
        <v>225</v>
      </c>
      <c r="F45" t="s">
        <v>43</v>
      </c>
      <c r="G45" t="s">
        <v>228</v>
      </c>
      <c r="H45">
        <v>1.3</v>
      </c>
      <c r="I45" t="s">
        <v>122</v>
      </c>
      <c r="J45" s="3">
        <v>45971</v>
      </c>
      <c r="K45">
        <v>14</v>
      </c>
      <c r="L45" t="s">
        <v>229</v>
      </c>
      <c r="M45" t="s">
        <v>176</v>
      </c>
      <c r="N45" s="3">
        <v>45971</v>
      </c>
      <c r="O45" s="4">
        <v>24</v>
      </c>
      <c r="P45" t="s">
        <v>66</v>
      </c>
      <c r="R45" t="s">
        <v>125</v>
      </c>
    </row>
    <row r="46" spans="1:18" x14ac:dyDescent="0.35">
      <c r="A46" t="s">
        <v>115</v>
      </c>
      <c r="B46" t="s">
        <v>230</v>
      </c>
      <c r="C46" t="s">
        <v>232</v>
      </c>
      <c r="D46" t="s">
        <v>13</v>
      </c>
      <c r="E46" t="s">
        <v>233</v>
      </c>
      <c r="F46" t="s">
        <v>30</v>
      </c>
      <c r="G46" t="s">
        <v>231</v>
      </c>
      <c r="H46">
        <v>0.5</v>
      </c>
      <c r="I46" t="s">
        <v>122</v>
      </c>
      <c r="J46" s="3">
        <v>46063</v>
      </c>
      <c r="K46">
        <v>20</v>
      </c>
      <c r="L46" t="s">
        <v>175</v>
      </c>
      <c r="M46" t="s">
        <v>140</v>
      </c>
      <c r="N46" s="3">
        <v>46068</v>
      </c>
      <c r="O46" s="4">
        <v>6</v>
      </c>
      <c r="P46" t="s">
        <v>66</v>
      </c>
      <c r="R46" t="s">
        <v>125</v>
      </c>
    </row>
    <row r="47" spans="1:18" x14ac:dyDescent="0.35">
      <c r="A47" t="s">
        <v>116</v>
      </c>
      <c r="B47" t="s">
        <v>235</v>
      </c>
      <c r="C47" t="s">
        <v>137</v>
      </c>
      <c r="D47" t="s">
        <v>13</v>
      </c>
      <c r="E47" t="s">
        <v>233</v>
      </c>
      <c r="F47" t="s">
        <v>30</v>
      </c>
      <c r="G47" t="s">
        <v>236</v>
      </c>
      <c r="H47">
        <v>1.4</v>
      </c>
      <c r="I47" t="s">
        <v>122</v>
      </c>
      <c r="J47" s="3">
        <v>46253</v>
      </c>
      <c r="K47">
        <v>12.99</v>
      </c>
      <c r="L47" t="s">
        <v>160</v>
      </c>
      <c r="M47" t="s">
        <v>176</v>
      </c>
      <c r="N47" s="3">
        <v>46253</v>
      </c>
      <c r="O47" s="4">
        <v>24</v>
      </c>
      <c r="P47" t="s">
        <v>66</v>
      </c>
      <c r="R47" t="s">
        <v>125</v>
      </c>
    </row>
    <row r="48" spans="1:18" x14ac:dyDescent="0.35">
      <c r="A48" t="s">
        <v>117</v>
      </c>
      <c r="B48" t="s">
        <v>257</v>
      </c>
      <c r="C48" t="s">
        <v>234</v>
      </c>
      <c r="D48" t="s">
        <v>13</v>
      </c>
      <c r="E48" t="s">
        <v>233</v>
      </c>
      <c r="F48" t="s">
        <v>39</v>
      </c>
      <c r="G48" t="s">
        <v>259</v>
      </c>
      <c r="H48">
        <f>0.8*5</f>
        <v>4</v>
      </c>
      <c r="I48" t="s">
        <v>122</v>
      </c>
      <c r="J48" s="3">
        <v>46260</v>
      </c>
      <c r="K48">
        <v>50</v>
      </c>
      <c r="L48" t="s">
        <v>63</v>
      </c>
      <c r="M48" t="s">
        <v>176</v>
      </c>
      <c r="N48" s="3">
        <v>46271</v>
      </c>
      <c r="O48" s="4">
        <v>24</v>
      </c>
      <c r="P48" t="s">
        <v>66</v>
      </c>
      <c r="R48" t="s">
        <v>125</v>
      </c>
    </row>
    <row r="49" spans="1:18" x14ac:dyDescent="0.35">
      <c r="A49" t="s">
        <v>118</v>
      </c>
      <c r="B49" t="s">
        <v>258</v>
      </c>
      <c r="C49" t="s">
        <v>155</v>
      </c>
      <c r="D49" t="s">
        <v>13</v>
      </c>
      <c r="E49" t="s">
        <v>233</v>
      </c>
      <c r="F49" t="s">
        <v>39</v>
      </c>
      <c r="G49" t="s">
        <v>261</v>
      </c>
      <c r="H49">
        <v>3.5</v>
      </c>
      <c r="I49" t="s">
        <v>122</v>
      </c>
      <c r="J49" s="3">
        <v>46272</v>
      </c>
      <c r="K49">
        <v>7</v>
      </c>
      <c r="L49" t="s">
        <v>260</v>
      </c>
      <c r="M49" t="s">
        <v>176</v>
      </c>
      <c r="N49" s="3">
        <v>46273</v>
      </c>
      <c r="O49" s="4">
        <v>12</v>
      </c>
      <c r="P49" t="s">
        <v>66</v>
      </c>
      <c r="R49" t="s">
        <v>125</v>
      </c>
    </row>
    <row r="50" spans="1:18" x14ac:dyDescent="0.35">
      <c r="A50" t="s">
        <v>119</v>
      </c>
      <c r="B50" t="s">
        <v>237</v>
      </c>
      <c r="C50" t="s">
        <v>137</v>
      </c>
      <c r="D50" t="s">
        <v>13</v>
      </c>
      <c r="E50" t="s">
        <v>41</v>
      </c>
      <c r="F50" t="s">
        <v>41</v>
      </c>
      <c r="G50" t="s">
        <v>238</v>
      </c>
      <c r="H50">
        <v>9.9</v>
      </c>
      <c r="I50" t="s">
        <v>69</v>
      </c>
      <c r="J50" s="3">
        <v>46235</v>
      </c>
      <c r="K50">
        <v>14</v>
      </c>
      <c r="L50" t="s">
        <v>160</v>
      </c>
      <c r="M50" t="s">
        <v>176</v>
      </c>
      <c r="N50" s="3">
        <v>46235</v>
      </c>
      <c r="O50" s="4">
        <v>6</v>
      </c>
      <c r="P50" t="s">
        <v>66</v>
      </c>
      <c r="R50" t="s">
        <v>125</v>
      </c>
    </row>
    <row r="51" spans="1:18" x14ac:dyDescent="0.35">
      <c r="A51" t="s">
        <v>239</v>
      </c>
      <c r="B51" t="s">
        <v>255</v>
      </c>
      <c r="C51" t="s">
        <v>142</v>
      </c>
      <c r="D51" t="s">
        <v>14</v>
      </c>
      <c r="E51" t="s">
        <v>40</v>
      </c>
      <c r="F51" t="s">
        <v>31</v>
      </c>
      <c r="G51" t="s">
        <v>256</v>
      </c>
      <c r="H51">
        <v>5</v>
      </c>
      <c r="I51" t="s">
        <v>69</v>
      </c>
      <c r="J51" s="3">
        <v>45280</v>
      </c>
      <c r="K51">
        <v>12.49</v>
      </c>
      <c r="L51" t="s">
        <v>229</v>
      </c>
      <c r="M51" t="s">
        <v>176</v>
      </c>
      <c r="N51" s="3">
        <v>45280</v>
      </c>
      <c r="O51" s="4">
        <v>24</v>
      </c>
      <c r="P51" t="s">
        <v>66</v>
      </c>
      <c r="R51" t="s">
        <v>125</v>
      </c>
    </row>
    <row r="52" spans="1:18" x14ac:dyDescent="0.35">
      <c r="A52" t="s">
        <v>240</v>
      </c>
      <c r="B52" t="s">
        <v>262</v>
      </c>
      <c r="C52" t="s">
        <v>137</v>
      </c>
      <c r="D52" t="s">
        <v>14</v>
      </c>
      <c r="E52" t="s">
        <v>23</v>
      </c>
      <c r="F52" t="s">
        <v>31</v>
      </c>
      <c r="G52" t="s">
        <v>263</v>
      </c>
      <c r="H52">
        <v>5</v>
      </c>
      <c r="I52" t="s">
        <v>69</v>
      </c>
      <c r="J52" s="3">
        <v>46213</v>
      </c>
      <c r="K52">
        <v>14.99</v>
      </c>
      <c r="L52" t="s">
        <v>229</v>
      </c>
      <c r="M52" t="s">
        <v>176</v>
      </c>
      <c r="N52" s="3">
        <v>46213</v>
      </c>
      <c r="O52" s="4">
        <v>12</v>
      </c>
      <c r="P52" t="s">
        <v>66</v>
      </c>
      <c r="R52" t="s">
        <v>125</v>
      </c>
    </row>
    <row r="53" spans="1:18" x14ac:dyDescent="0.35">
      <c r="A53" t="s">
        <v>241</v>
      </c>
      <c r="B53" t="s">
        <v>264</v>
      </c>
      <c r="C53" t="s">
        <v>142</v>
      </c>
      <c r="D53" t="s">
        <v>14</v>
      </c>
      <c r="E53" t="s">
        <v>23</v>
      </c>
      <c r="F53" t="s">
        <v>31</v>
      </c>
      <c r="G53" t="s">
        <v>265</v>
      </c>
      <c r="H53">
        <v>5.4</v>
      </c>
      <c r="I53" t="s">
        <v>69</v>
      </c>
      <c r="J53" s="3">
        <v>46091</v>
      </c>
      <c r="K53">
        <v>10.49</v>
      </c>
      <c r="L53" t="s">
        <v>229</v>
      </c>
      <c r="M53" t="s">
        <v>176</v>
      </c>
      <c r="N53" s="3">
        <v>46091</v>
      </c>
      <c r="O53" s="4">
        <v>36</v>
      </c>
      <c r="P53" t="s">
        <v>66</v>
      </c>
      <c r="R53" t="s">
        <v>125</v>
      </c>
    </row>
    <row r="54" spans="1:18" x14ac:dyDescent="0.35">
      <c r="A54" t="s">
        <v>242</v>
      </c>
      <c r="B54" t="s">
        <v>266</v>
      </c>
      <c r="C54" t="s">
        <v>267</v>
      </c>
      <c r="D54" t="s">
        <v>14</v>
      </c>
      <c r="E54" t="s">
        <v>40</v>
      </c>
      <c r="F54" t="s">
        <v>31</v>
      </c>
      <c r="G54" t="s">
        <v>269</v>
      </c>
      <c r="H54">
        <v>1.2</v>
      </c>
      <c r="I54" t="s">
        <v>69</v>
      </c>
      <c r="J54" s="3">
        <v>43160</v>
      </c>
      <c r="K54">
        <v>7.8</v>
      </c>
      <c r="L54" t="s">
        <v>268</v>
      </c>
      <c r="M54" t="s">
        <v>134</v>
      </c>
      <c r="N54" s="3">
        <v>43160</v>
      </c>
      <c r="O54" s="4">
        <v>24</v>
      </c>
      <c r="P54" t="s">
        <v>66</v>
      </c>
      <c r="R54" t="s">
        <v>125</v>
      </c>
    </row>
    <row r="55" spans="1:18" x14ac:dyDescent="0.35">
      <c r="A55" t="s">
        <v>243</v>
      </c>
      <c r="B55" t="s">
        <v>266</v>
      </c>
      <c r="C55" t="s">
        <v>267</v>
      </c>
      <c r="D55" t="s">
        <v>14</v>
      </c>
      <c r="E55" t="s">
        <v>40</v>
      </c>
      <c r="F55" t="s">
        <v>31</v>
      </c>
      <c r="G55" t="s">
        <v>270</v>
      </c>
      <c r="H55">
        <v>1.2</v>
      </c>
      <c r="I55" t="s">
        <v>69</v>
      </c>
      <c r="J55" s="3">
        <v>43160</v>
      </c>
      <c r="K55">
        <v>7.8</v>
      </c>
      <c r="L55" t="s">
        <v>268</v>
      </c>
      <c r="M55" t="s">
        <v>134</v>
      </c>
      <c r="N55" s="3">
        <v>43160</v>
      </c>
      <c r="O55" s="4">
        <v>24</v>
      </c>
      <c r="P55" t="s">
        <v>66</v>
      </c>
      <c r="R55" t="s">
        <v>125</v>
      </c>
    </row>
    <row r="56" spans="1:18" x14ac:dyDescent="0.35">
      <c r="A56" t="s">
        <v>244</v>
      </c>
      <c r="B56" t="s">
        <v>266</v>
      </c>
      <c r="C56" t="s">
        <v>267</v>
      </c>
      <c r="D56" t="s">
        <v>14</v>
      </c>
      <c r="E56" t="s">
        <v>40</v>
      </c>
      <c r="F56" t="s">
        <v>31</v>
      </c>
      <c r="G56" t="s">
        <v>271</v>
      </c>
      <c r="H56">
        <v>1.2</v>
      </c>
      <c r="I56" t="s">
        <v>69</v>
      </c>
      <c r="J56" s="3">
        <v>43160</v>
      </c>
      <c r="K56">
        <v>7.8</v>
      </c>
      <c r="L56" t="s">
        <v>268</v>
      </c>
      <c r="M56" t="s">
        <v>134</v>
      </c>
      <c r="N56" s="3">
        <v>43160</v>
      </c>
      <c r="O56" s="4">
        <v>24</v>
      </c>
      <c r="P56" t="s">
        <v>66</v>
      </c>
      <c r="R56" t="s">
        <v>125</v>
      </c>
    </row>
    <row r="57" spans="1:18" x14ac:dyDescent="0.35">
      <c r="A57" t="s">
        <v>245</v>
      </c>
      <c r="B57" t="s">
        <v>266</v>
      </c>
      <c r="C57" t="s">
        <v>267</v>
      </c>
      <c r="D57" t="s">
        <v>14</v>
      </c>
      <c r="E57" t="s">
        <v>40</v>
      </c>
      <c r="F57" t="s">
        <v>31</v>
      </c>
      <c r="G57" t="s">
        <v>272</v>
      </c>
      <c r="H57">
        <v>1.2</v>
      </c>
      <c r="I57" t="s">
        <v>69</v>
      </c>
      <c r="J57" s="3">
        <v>43160</v>
      </c>
      <c r="K57">
        <v>7.8</v>
      </c>
      <c r="L57" t="s">
        <v>268</v>
      </c>
      <c r="M57" t="s">
        <v>134</v>
      </c>
      <c r="N57" s="3">
        <v>43160</v>
      </c>
      <c r="O57" s="4">
        <v>24</v>
      </c>
      <c r="P57" t="s">
        <v>66</v>
      </c>
      <c r="R57" t="s">
        <v>125</v>
      </c>
    </row>
    <row r="58" spans="1:18" x14ac:dyDescent="0.35">
      <c r="A58" t="s">
        <v>246</v>
      </c>
      <c r="B58" t="s">
        <v>266</v>
      </c>
      <c r="C58" t="s">
        <v>267</v>
      </c>
      <c r="D58" t="s">
        <v>14</v>
      </c>
      <c r="E58" t="s">
        <v>40</v>
      </c>
      <c r="F58" t="s">
        <v>31</v>
      </c>
      <c r="G58" t="s">
        <v>273</v>
      </c>
      <c r="H58">
        <v>1.2</v>
      </c>
      <c r="I58" t="s">
        <v>69</v>
      </c>
      <c r="J58" s="3">
        <v>43160</v>
      </c>
      <c r="K58">
        <v>7.8</v>
      </c>
      <c r="L58" t="s">
        <v>268</v>
      </c>
      <c r="M58" t="s">
        <v>134</v>
      </c>
      <c r="N58" s="3">
        <v>43160</v>
      </c>
      <c r="O58" s="4">
        <v>24</v>
      </c>
      <c r="P58" t="s">
        <v>66</v>
      </c>
      <c r="R58" t="s">
        <v>125</v>
      </c>
    </row>
    <row r="59" spans="1:18" x14ac:dyDescent="0.35">
      <c r="A59" t="s">
        <v>247</v>
      </c>
      <c r="B59" t="s">
        <v>274</v>
      </c>
      <c r="C59" t="s">
        <v>142</v>
      </c>
      <c r="D59" t="s">
        <v>44</v>
      </c>
      <c r="E59" t="s">
        <v>43</v>
      </c>
      <c r="F59" t="s">
        <v>43</v>
      </c>
      <c r="G59" t="s">
        <v>275</v>
      </c>
      <c r="H59">
        <v>90</v>
      </c>
      <c r="I59" t="s">
        <v>276</v>
      </c>
      <c r="J59" s="3">
        <v>45066</v>
      </c>
      <c r="K59">
        <v>10</v>
      </c>
      <c r="L59" t="s">
        <v>160</v>
      </c>
      <c r="M59" t="s">
        <v>176</v>
      </c>
      <c r="N59" s="3">
        <v>45066</v>
      </c>
      <c r="O59" s="4">
        <v>24</v>
      </c>
      <c r="P59" t="s">
        <v>66</v>
      </c>
      <c r="R59" t="s">
        <v>125</v>
      </c>
    </row>
    <row r="60" spans="1:18" x14ac:dyDescent="0.35">
      <c r="A60" t="s">
        <v>248</v>
      </c>
      <c r="B60" t="s">
        <v>279</v>
      </c>
      <c r="C60" t="s">
        <v>277</v>
      </c>
      <c r="D60" t="s">
        <v>16</v>
      </c>
      <c r="E60" t="s">
        <v>60</v>
      </c>
      <c r="F60" t="s">
        <v>29</v>
      </c>
      <c r="G60" t="s">
        <v>198</v>
      </c>
      <c r="H60">
        <v>150</v>
      </c>
      <c r="I60" t="s">
        <v>69</v>
      </c>
      <c r="J60" s="3">
        <v>46063</v>
      </c>
      <c r="K60">
        <v>26</v>
      </c>
      <c r="L60" t="s">
        <v>175</v>
      </c>
      <c r="M60" t="s">
        <v>140</v>
      </c>
      <c r="N60" s="3">
        <v>46091</v>
      </c>
      <c r="O60" s="4">
        <v>12</v>
      </c>
      <c r="P60" t="s">
        <v>66</v>
      </c>
      <c r="R60" t="s">
        <v>125</v>
      </c>
    </row>
    <row r="61" spans="1:18" x14ac:dyDescent="0.35">
      <c r="A61" t="s">
        <v>249</v>
      </c>
      <c r="B61" t="s">
        <v>215</v>
      </c>
      <c r="C61" t="s">
        <v>214</v>
      </c>
      <c r="D61" t="s">
        <v>16</v>
      </c>
      <c r="E61" t="s">
        <v>60</v>
      </c>
      <c r="F61" t="s">
        <v>29</v>
      </c>
      <c r="G61" t="s">
        <v>198</v>
      </c>
      <c r="H61">
        <v>100</v>
      </c>
      <c r="I61" t="s">
        <v>69</v>
      </c>
      <c r="J61" s="3">
        <v>45494</v>
      </c>
      <c r="K61">
        <v>13.99</v>
      </c>
      <c r="L61" t="s">
        <v>229</v>
      </c>
      <c r="M61" t="s">
        <v>176</v>
      </c>
      <c r="N61" s="3">
        <v>45498</v>
      </c>
      <c r="O61" s="4">
        <v>12</v>
      </c>
      <c r="P61" t="s">
        <v>66</v>
      </c>
      <c r="R61" t="s">
        <v>125</v>
      </c>
    </row>
    <row r="62" spans="1:18" x14ac:dyDescent="0.35">
      <c r="A62" t="s">
        <v>250</v>
      </c>
      <c r="B62" t="s">
        <v>278</v>
      </c>
      <c r="C62" t="s">
        <v>142</v>
      </c>
      <c r="D62" t="s">
        <v>16</v>
      </c>
      <c r="E62" t="s">
        <v>60</v>
      </c>
      <c r="F62" t="s">
        <v>29</v>
      </c>
      <c r="G62" t="s">
        <v>198</v>
      </c>
      <c r="H62">
        <v>100</v>
      </c>
      <c r="I62" t="s">
        <v>69</v>
      </c>
      <c r="J62" s="3">
        <v>45066</v>
      </c>
      <c r="K62">
        <v>9.49</v>
      </c>
      <c r="L62" t="s">
        <v>160</v>
      </c>
      <c r="M62" t="s">
        <v>176</v>
      </c>
      <c r="N62" s="3">
        <v>45066</v>
      </c>
      <c r="O62" s="4">
        <v>12</v>
      </c>
      <c r="P62" t="s">
        <v>66</v>
      </c>
      <c r="R62" t="s">
        <v>125</v>
      </c>
    </row>
    <row r="63" spans="1:18" x14ac:dyDescent="0.35">
      <c r="A63" t="s">
        <v>251</v>
      </c>
      <c r="B63" t="s">
        <v>280</v>
      </c>
      <c r="C63" t="s">
        <v>157</v>
      </c>
      <c r="D63" t="s">
        <v>16</v>
      </c>
      <c r="E63" t="s">
        <v>60</v>
      </c>
      <c r="F63" t="s">
        <v>29</v>
      </c>
      <c r="G63" t="s">
        <v>198</v>
      </c>
      <c r="H63">
        <v>50</v>
      </c>
      <c r="I63" t="s">
        <v>69</v>
      </c>
      <c r="J63" s="3">
        <v>46042</v>
      </c>
      <c r="K63">
        <v>11.5</v>
      </c>
      <c r="L63" t="s">
        <v>281</v>
      </c>
      <c r="M63" t="s">
        <v>176</v>
      </c>
      <c r="N63" s="3">
        <v>46042</v>
      </c>
      <c r="O63" s="4">
        <v>6</v>
      </c>
      <c r="P63" t="s">
        <v>66</v>
      </c>
      <c r="R63" t="s">
        <v>125</v>
      </c>
    </row>
    <row r="64" spans="1:18" x14ac:dyDescent="0.35">
      <c r="A64" t="s">
        <v>252</v>
      </c>
      <c r="B64" t="s">
        <v>282</v>
      </c>
      <c r="C64" t="s">
        <v>137</v>
      </c>
      <c r="D64" t="s">
        <v>16</v>
      </c>
      <c r="E64" t="s">
        <v>60</v>
      </c>
      <c r="F64" t="s">
        <v>29</v>
      </c>
      <c r="G64" t="s">
        <v>198</v>
      </c>
      <c r="H64">
        <v>75</v>
      </c>
      <c r="I64" t="s">
        <v>69</v>
      </c>
      <c r="J64" s="3">
        <v>46290</v>
      </c>
      <c r="K64">
        <v>10</v>
      </c>
      <c r="L64" t="s">
        <v>283</v>
      </c>
      <c r="M64" t="s">
        <v>176</v>
      </c>
      <c r="O64" s="4"/>
      <c r="P64" t="s">
        <v>135</v>
      </c>
      <c r="R64" t="s">
        <v>125</v>
      </c>
    </row>
    <row r="65" spans="1:18" x14ac:dyDescent="0.35">
      <c r="A65" t="s">
        <v>253</v>
      </c>
      <c r="B65" t="s">
        <v>284</v>
      </c>
      <c r="C65" t="s">
        <v>157</v>
      </c>
      <c r="D65" t="s">
        <v>16</v>
      </c>
      <c r="E65" t="s">
        <v>33</v>
      </c>
      <c r="F65" t="s">
        <v>35</v>
      </c>
      <c r="G65" t="s">
        <v>216</v>
      </c>
      <c r="H65">
        <v>10</v>
      </c>
      <c r="I65" t="s">
        <v>122</v>
      </c>
      <c r="J65" s="3">
        <v>46042</v>
      </c>
      <c r="K65">
        <v>9.5299999999999994</v>
      </c>
      <c r="L65" t="s">
        <v>281</v>
      </c>
      <c r="M65" t="s">
        <v>176</v>
      </c>
      <c r="N65" s="3">
        <v>46042</v>
      </c>
      <c r="O65" s="4">
        <v>6</v>
      </c>
      <c r="P65" t="s">
        <v>66</v>
      </c>
      <c r="Q65" s="3">
        <v>46303</v>
      </c>
      <c r="R65" t="s">
        <v>124</v>
      </c>
    </row>
    <row r="66" spans="1:18" x14ac:dyDescent="0.35">
      <c r="A66" t="s">
        <v>254</v>
      </c>
      <c r="B66" t="s">
        <v>285</v>
      </c>
      <c r="C66" t="s">
        <v>142</v>
      </c>
      <c r="D66" t="s">
        <v>14</v>
      </c>
      <c r="E66" t="s">
        <v>23</v>
      </c>
      <c r="F66" t="s">
        <v>30</v>
      </c>
      <c r="G66" t="s">
        <v>286</v>
      </c>
      <c r="H66">
        <v>2.8</v>
      </c>
      <c r="I66" t="s">
        <v>122</v>
      </c>
      <c r="J66" s="3">
        <v>46127</v>
      </c>
      <c r="K66">
        <v>9.99</v>
      </c>
      <c r="L66" t="s">
        <v>229</v>
      </c>
      <c r="M66" t="s">
        <v>176</v>
      </c>
      <c r="N66" s="3">
        <v>46127</v>
      </c>
      <c r="O66" s="4">
        <v>24</v>
      </c>
      <c r="P66" t="s">
        <v>66</v>
      </c>
      <c r="R66" t="s">
        <v>125</v>
      </c>
    </row>
    <row r="67" spans="1:18" x14ac:dyDescent="0.35">
      <c r="A67" t="s">
        <v>288</v>
      </c>
      <c r="B67" t="s">
        <v>289</v>
      </c>
      <c r="C67" t="s">
        <v>137</v>
      </c>
      <c r="D67" t="s">
        <v>16</v>
      </c>
      <c r="E67" t="s">
        <v>19</v>
      </c>
      <c r="F67" t="s">
        <v>32</v>
      </c>
      <c r="G67" t="s">
        <v>290</v>
      </c>
      <c r="H67">
        <v>8</v>
      </c>
      <c r="I67" t="s">
        <v>122</v>
      </c>
      <c r="J67" s="3">
        <v>46296</v>
      </c>
      <c r="K67">
        <v>22</v>
      </c>
      <c r="L67" t="s">
        <v>229</v>
      </c>
      <c r="M67" t="s">
        <v>176</v>
      </c>
      <c r="N67" s="3">
        <v>46297</v>
      </c>
      <c r="O67" s="4">
        <v>24</v>
      </c>
      <c r="P67" t="s">
        <v>66</v>
      </c>
      <c r="R67" t="s">
        <v>125</v>
      </c>
    </row>
    <row r="68" spans="1:18" x14ac:dyDescent="0.35">
      <c r="A68" t="s">
        <v>291</v>
      </c>
      <c r="B68" t="s">
        <v>60</v>
      </c>
      <c r="C68" t="s">
        <v>292</v>
      </c>
      <c r="D68" t="s">
        <v>16</v>
      </c>
      <c r="E68" t="s">
        <v>60</v>
      </c>
      <c r="F68" t="s">
        <v>29</v>
      </c>
      <c r="G68" t="s">
        <v>198</v>
      </c>
      <c r="H68">
        <v>30</v>
      </c>
      <c r="I68" t="s">
        <v>69</v>
      </c>
      <c r="J68" s="3">
        <v>46304</v>
      </c>
      <c r="K68">
        <v>33</v>
      </c>
      <c r="L68" t="s">
        <v>175</v>
      </c>
      <c r="M68" t="s">
        <v>176</v>
      </c>
      <c r="N68" s="3">
        <v>46304</v>
      </c>
      <c r="O68" s="4">
        <v>12</v>
      </c>
      <c r="P68" t="s">
        <v>66</v>
      </c>
      <c r="R68" t="s">
        <v>125</v>
      </c>
    </row>
    <row r="69" spans="1:18" x14ac:dyDescent="0.35">
      <c r="A69" t="s">
        <v>293</v>
      </c>
      <c r="B69" t="s">
        <v>60</v>
      </c>
      <c r="C69" t="s">
        <v>294</v>
      </c>
      <c r="D69" t="s">
        <v>16</v>
      </c>
      <c r="E69" t="s">
        <v>60</v>
      </c>
      <c r="F69" t="s">
        <v>29</v>
      </c>
      <c r="G69" t="s">
        <v>198</v>
      </c>
      <c r="H69">
        <v>15</v>
      </c>
      <c r="I69" t="s">
        <v>69</v>
      </c>
      <c r="J69" s="3">
        <v>46307</v>
      </c>
      <c r="K69">
        <v>0</v>
      </c>
      <c r="L69" t="s">
        <v>175</v>
      </c>
      <c r="M69" t="s">
        <v>140</v>
      </c>
      <c r="O69" s="4">
        <v>6</v>
      </c>
      <c r="P69" t="s">
        <v>135</v>
      </c>
      <c r="R69" t="s">
        <v>125</v>
      </c>
    </row>
    <row r="70" spans="1:18" x14ac:dyDescent="0.35">
      <c r="A70" t="s">
        <v>295</v>
      </c>
      <c r="B70" t="s">
        <v>296</v>
      </c>
      <c r="C70" t="s">
        <v>156</v>
      </c>
      <c r="D70" t="s">
        <v>16</v>
      </c>
      <c r="E70" t="s">
        <v>33</v>
      </c>
      <c r="F70" t="s">
        <v>34</v>
      </c>
      <c r="G70" t="s">
        <v>297</v>
      </c>
      <c r="H70">
        <v>6</v>
      </c>
      <c r="I70" t="s">
        <v>122</v>
      </c>
      <c r="J70" s="3">
        <v>46307</v>
      </c>
      <c r="K70">
        <v>12</v>
      </c>
      <c r="L70" t="s">
        <v>160</v>
      </c>
      <c r="M70" t="s">
        <v>176</v>
      </c>
      <c r="N70" s="3">
        <v>46310</v>
      </c>
      <c r="O70" s="4">
        <v>12</v>
      </c>
      <c r="P70" t="s">
        <v>66</v>
      </c>
      <c r="R70" t="s">
        <v>125</v>
      </c>
    </row>
  </sheetData>
  <phoneticPr fontId="2" type="noConversion"/>
  <conditionalFormatting sqref="A2:P70">
    <cfRule type="expression" dxfId="6" priority="3">
      <formula>ISBLANK(A2)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0FA9D9D-AA93-4933-891B-D8B96B26751E}">
          <x14:formula1>
            <xm:f>Dropdownlists!$A:$A</xm:f>
          </x14:formula1>
          <xm:sqref>D2:D70</xm:sqref>
        </x14:dataValidation>
        <x14:dataValidation type="list" allowBlank="1" showInputMessage="1" showErrorMessage="1" xr:uid="{47FAEE91-1E0A-4BD8-8B60-544AFB047C58}">
          <x14:formula1>
            <xm:f>Dropdownlists!$D:$D</xm:f>
          </x14:formula1>
          <xm:sqref>E2:E70</xm:sqref>
        </x14:dataValidation>
        <x14:dataValidation type="list" allowBlank="1" showInputMessage="1" showErrorMessage="1" xr:uid="{2D1D2F79-1A2E-4F21-BB79-D756E54D8885}">
          <x14:formula1>
            <xm:f>Dropdownlists!$G:$G</xm:f>
          </x14:formula1>
          <xm:sqref>F2:F70</xm:sqref>
        </x14:dataValidation>
        <x14:dataValidation type="list" allowBlank="1" showInputMessage="1" showErrorMessage="1" xr:uid="{83474B4B-7A85-4C9F-8371-114069738CA7}">
          <x14:formula1>
            <xm:f>Dropdownlists!$J:$J</xm:f>
          </x14:formula1>
          <xm:sqref>R2:R70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61EB1-A41C-4893-B079-2ECCBB28D414}">
  <dimension ref="A1:H68"/>
  <sheetViews>
    <sheetView topLeftCell="A43" workbookViewId="0">
      <selection activeCell="D26" sqref="D26"/>
    </sheetView>
  </sheetViews>
  <sheetFormatPr defaultRowHeight="14.5" x14ac:dyDescent="0.35"/>
  <cols>
    <col min="1" max="1" width="11.54296875" bestFit="1" customWidth="1"/>
    <col min="2" max="2" width="23.26953125" bestFit="1" customWidth="1"/>
    <col min="3" max="3" width="15.36328125" bestFit="1" customWidth="1"/>
    <col min="4" max="4" width="10.7265625" bestFit="1" customWidth="1"/>
    <col min="5" max="5" width="13.90625" bestFit="1" customWidth="1"/>
    <col min="6" max="6" width="15" bestFit="1" customWidth="1"/>
    <col min="7" max="8" width="19.1796875" bestFit="1" customWidth="1"/>
  </cols>
  <sheetData>
    <row r="1" spans="1:8" x14ac:dyDescent="0.35">
      <c r="A1" s="7" t="s">
        <v>1</v>
      </c>
      <c r="B1" s="7" t="s">
        <v>0</v>
      </c>
      <c r="C1" s="7" t="s">
        <v>2</v>
      </c>
      <c r="D1" s="7" t="s">
        <v>3</v>
      </c>
      <c r="E1" s="7" t="s">
        <v>4</v>
      </c>
      <c r="F1" s="7" t="s">
        <v>61</v>
      </c>
      <c r="G1" s="7" t="s">
        <v>5</v>
      </c>
      <c r="H1" s="7" t="s">
        <v>287</v>
      </c>
    </row>
    <row r="2" spans="1:8" x14ac:dyDescent="0.35">
      <c r="A2" s="1" t="s">
        <v>70</v>
      </c>
      <c r="B2" s="1" t="s">
        <v>71</v>
      </c>
      <c r="C2" s="1" t="s">
        <v>62</v>
      </c>
      <c r="D2" s="1" t="s">
        <v>16</v>
      </c>
      <c r="E2" s="1" t="s">
        <v>19</v>
      </c>
      <c r="F2" s="1" t="s">
        <v>31</v>
      </c>
      <c r="G2" s="1">
        <v>6</v>
      </c>
      <c r="H2" s="1">
        <v>2</v>
      </c>
    </row>
    <row r="3" spans="1:8" x14ac:dyDescent="0.35">
      <c r="A3" s="2" t="s">
        <v>72</v>
      </c>
      <c r="B3" s="2" t="s">
        <v>120</v>
      </c>
      <c r="C3" s="2" t="s">
        <v>62</v>
      </c>
      <c r="D3" s="2" t="s">
        <v>44</v>
      </c>
      <c r="E3" s="2" t="s">
        <v>42</v>
      </c>
      <c r="F3" s="2" t="s">
        <v>31</v>
      </c>
      <c r="G3" s="2" t="s">
        <v>121</v>
      </c>
      <c r="H3" s="2">
        <v>4</v>
      </c>
    </row>
    <row r="4" spans="1:8" x14ac:dyDescent="0.35">
      <c r="A4" s="1" t="s">
        <v>73</v>
      </c>
      <c r="B4" s="1" t="s">
        <v>131</v>
      </c>
      <c r="C4" s="1" t="s">
        <v>130</v>
      </c>
      <c r="D4" s="1" t="s">
        <v>16</v>
      </c>
      <c r="E4" s="1" t="s">
        <v>19</v>
      </c>
      <c r="F4" s="1" t="s">
        <v>31</v>
      </c>
      <c r="G4" s="1" t="s">
        <v>132</v>
      </c>
      <c r="H4" s="1">
        <v>6</v>
      </c>
    </row>
    <row r="5" spans="1:8" x14ac:dyDescent="0.35">
      <c r="A5" s="2" t="s">
        <v>74</v>
      </c>
      <c r="B5" s="2" t="s">
        <v>131</v>
      </c>
      <c r="C5" s="2" t="s">
        <v>130</v>
      </c>
      <c r="D5" s="2" t="s">
        <v>16</v>
      </c>
      <c r="E5" s="2" t="s">
        <v>19</v>
      </c>
      <c r="F5" s="2" t="s">
        <v>31</v>
      </c>
      <c r="G5" s="2" t="s">
        <v>132</v>
      </c>
      <c r="H5" s="2">
        <v>0</v>
      </c>
    </row>
    <row r="6" spans="1:8" x14ac:dyDescent="0.35">
      <c r="A6" s="1" t="s">
        <v>75</v>
      </c>
      <c r="B6" s="1" t="s">
        <v>131</v>
      </c>
      <c r="C6" s="1" t="s">
        <v>130</v>
      </c>
      <c r="D6" s="1" t="s">
        <v>16</v>
      </c>
      <c r="E6" s="1" t="s">
        <v>19</v>
      </c>
      <c r="F6" s="1" t="s">
        <v>31</v>
      </c>
      <c r="G6" s="1" t="s">
        <v>132</v>
      </c>
      <c r="H6" s="1">
        <v>0</v>
      </c>
    </row>
    <row r="7" spans="1:8" x14ac:dyDescent="0.35">
      <c r="A7" s="2" t="s">
        <v>76</v>
      </c>
      <c r="B7" s="2" t="s">
        <v>131</v>
      </c>
      <c r="C7" s="2" t="s">
        <v>130</v>
      </c>
      <c r="D7" s="2" t="s">
        <v>16</v>
      </c>
      <c r="E7" s="2" t="s">
        <v>19</v>
      </c>
      <c r="F7" s="2" t="s">
        <v>31</v>
      </c>
      <c r="G7" s="2" t="s">
        <v>132</v>
      </c>
      <c r="H7" s="2">
        <v>0</v>
      </c>
    </row>
    <row r="8" spans="1:8" x14ac:dyDescent="0.35">
      <c r="A8" s="1" t="s">
        <v>77</v>
      </c>
      <c r="B8" s="1" t="s">
        <v>136</v>
      </c>
      <c r="C8" s="1" t="s">
        <v>137</v>
      </c>
      <c r="D8" s="1" t="s">
        <v>16</v>
      </c>
      <c r="E8" s="1" t="s">
        <v>19</v>
      </c>
      <c r="F8" s="1" t="s">
        <v>31</v>
      </c>
      <c r="G8" s="1" t="s">
        <v>138</v>
      </c>
      <c r="H8" s="1">
        <v>0</v>
      </c>
    </row>
    <row r="9" spans="1:8" x14ac:dyDescent="0.35">
      <c r="A9" s="2" t="s">
        <v>78</v>
      </c>
      <c r="B9" s="2" t="s">
        <v>141</v>
      </c>
      <c r="C9" s="2" t="s">
        <v>142</v>
      </c>
      <c r="D9" s="2" t="s">
        <v>16</v>
      </c>
      <c r="E9" s="2" t="s">
        <v>19</v>
      </c>
      <c r="F9" s="2" t="s">
        <v>31</v>
      </c>
      <c r="G9" s="2">
        <v>2</v>
      </c>
      <c r="H9" s="2">
        <v>9</v>
      </c>
    </row>
    <row r="10" spans="1:8" x14ac:dyDescent="0.35">
      <c r="A10" s="1" t="s">
        <v>79</v>
      </c>
      <c r="B10" s="1" t="s">
        <v>144</v>
      </c>
      <c r="C10" s="1" t="s">
        <v>145</v>
      </c>
      <c r="D10" s="1" t="s">
        <v>16</v>
      </c>
      <c r="E10" s="1" t="s">
        <v>19</v>
      </c>
      <c r="F10" s="1" t="s">
        <v>31</v>
      </c>
      <c r="G10" s="1" t="s">
        <v>146</v>
      </c>
      <c r="H10" s="1">
        <v>0</v>
      </c>
    </row>
    <row r="11" spans="1:8" x14ac:dyDescent="0.35">
      <c r="A11" s="2" t="s">
        <v>80</v>
      </c>
      <c r="B11" s="2" t="s">
        <v>147</v>
      </c>
      <c r="C11" s="2" t="s">
        <v>148</v>
      </c>
      <c r="D11" s="2" t="s">
        <v>44</v>
      </c>
      <c r="E11" s="2" t="s">
        <v>43</v>
      </c>
      <c r="F11" s="2" t="s">
        <v>43</v>
      </c>
      <c r="G11" s="2" t="s">
        <v>149</v>
      </c>
      <c r="H11" s="2">
        <v>7</v>
      </c>
    </row>
    <row r="12" spans="1:8" x14ac:dyDescent="0.35">
      <c r="A12" s="1" t="s">
        <v>81</v>
      </c>
      <c r="B12" s="1" t="s">
        <v>151</v>
      </c>
      <c r="C12" s="1" t="s">
        <v>152</v>
      </c>
      <c r="D12" s="1" t="s">
        <v>16</v>
      </c>
      <c r="E12" s="1" t="s">
        <v>19</v>
      </c>
      <c r="F12" s="1" t="s">
        <v>30</v>
      </c>
      <c r="G12" s="1">
        <v>100</v>
      </c>
      <c r="H12" s="1">
        <v>6</v>
      </c>
    </row>
    <row r="13" spans="1:8" x14ac:dyDescent="0.35">
      <c r="A13" s="2" t="s">
        <v>82</v>
      </c>
      <c r="B13" s="2" t="s">
        <v>164</v>
      </c>
      <c r="C13" s="2" t="s">
        <v>154</v>
      </c>
      <c r="D13" s="2" t="s">
        <v>16</v>
      </c>
      <c r="E13" s="2" t="s">
        <v>20</v>
      </c>
      <c r="F13" s="2" t="s">
        <v>31</v>
      </c>
      <c r="G13" s="2">
        <v>100</v>
      </c>
      <c r="H13" s="2">
        <v>3</v>
      </c>
    </row>
    <row r="14" spans="1:8" x14ac:dyDescent="0.35">
      <c r="A14" s="1" t="s">
        <v>83</v>
      </c>
      <c r="B14" s="1" t="s">
        <v>161</v>
      </c>
      <c r="C14" s="1" t="s">
        <v>155</v>
      </c>
      <c r="D14" s="1" t="s">
        <v>16</v>
      </c>
      <c r="E14" s="1" t="s">
        <v>20</v>
      </c>
      <c r="F14" s="1" t="s">
        <v>31</v>
      </c>
      <c r="G14" s="1" t="s">
        <v>163</v>
      </c>
      <c r="H14" s="1">
        <v>0</v>
      </c>
    </row>
    <row r="15" spans="1:8" x14ac:dyDescent="0.35">
      <c r="A15" s="2" t="s">
        <v>84</v>
      </c>
      <c r="B15" s="2" t="s">
        <v>165</v>
      </c>
      <c r="C15" s="2" t="s">
        <v>142</v>
      </c>
      <c r="D15" s="2" t="s">
        <v>16</v>
      </c>
      <c r="E15" s="2" t="s">
        <v>20</v>
      </c>
      <c r="F15" s="2" t="s">
        <v>31</v>
      </c>
      <c r="G15" s="2" t="s">
        <v>166</v>
      </c>
      <c r="H15" s="2">
        <v>3</v>
      </c>
    </row>
    <row r="16" spans="1:8" x14ac:dyDescent="0.35">
      <c r="A16" s="1" t="s">
        <v>85</v>
      </c>
      <c r="B16" s="1" t="s">
        <v>169</v>
      </c>
      <c r="C16" s="1" t="s">
        <v>156</v>
      </c>
      <c r="D16" s="1" t="s">
        <v>16</v>
      </c>
      <c r="E16" s="1" t="s">
        <v>20</v>
      </c>
      <c r="F16" s="1" t="s">
        <v>31</v>
      </c>
      <c r="G16" s="1" t="s">
        <v>170</v>
      </c>
      <c r="H16" s="1">
        <v>9</v>
      </c>
    </row>
    <row r="17" spans="1:8" x14ac:dyDescent="0.35">
      <c r="A17" s="2" t="s">
        <v>86</v>
      </c>
      <c r="B17" s="2" t="s">
        <v>167</v>
      </c>
      <c r="C17" s="2" t="s">
        <v>156</v>
      </c>
      <c r="D17" s="2" t="s">
        <v>16</v>
      </c>
      <c r="E17" s="2" t="s">
        <v>20</v>
      </c>
      <c r="F17" s="2" t="s">
        <v>30</v>
      </c>
      <c r="G17" s="2" t="s">
        <v>168</v>
      </c>
      <c r="H17" s="2">
        <v>2</v>
      </c>
    </row>
    <row r="18" spans="1:8" x14ac:dyDescent="0.35">
      <c r="A18" s="1" t="s">
        <v>87</v>
      </c>
      <c r="B18" s="1" t="s">
        <v>158</v>
      </c>
      <c r="C18" s="1" t="s">
        <v>157</v>
      </c>
      <c r="D18" s="1" t="s">
        <v>16</v>
      </c>
      <c r="E18" s="1" t="s">
        <v>20</v>
      </c>
      <c r="F18" s="1" t="s">
        <v>36</v>
      </c>
      <c r="G18" s="1" t="s">
        <v>159</v>
      </c>
      <c r="H18" s="1">
        <v>3</v>
      </c>
    </row>
    <row r="19" spans="1:8" x14ac:dyDescent="0.35">
      <c r="A19" s="2" t="s">
        <v>88</v>
      </c>
      <c r="B19" s="2" t="s">
        <v>165</v>
      </c>
      <c r="C19" s="2" t="s">
        <v>142</v>
      </c>
      <c r="D19" s="2" t="s">
        <v>16</v>
      </c>
      <c r="E19" s="2" t="s">
        <v>20</v>
      </c>
      <c r="F19" s="2" t="s">
        <v>31</v>
      </c>
      <c r="G19" s="2" t="s">
        <v>171</v>
      </c>
      <c r="H19" s="2">
        <v>0</v>
      </c>
    </row>
    <row r="20" spans="1:8" x14ac:dyDescent="0.35">
      <c r="A20" s="1" t="s">
        <v>89</v>
      </c>
      <c r="B20" s="1" t="s">
        <v>172</v>
      </c>
      <c r="C20" s="1" t="s">
        <v>173</v>
      </c>
      <c r="D20" s="1" t="s">
        <v>16</v>
      </c>
      <c r="E20" s="1" t="s">
        <v>22</v>
      </c>
      <c r="F20" s="1" t="s">
        <v>36</v>
      </c>
      <c r="G20" s="1" t="s">
        <v>174</v>
      </c>
      <c r="H20" s="1">
        <v>0</v>
      </c>
    </row>
    <row r="21" spans="1:8" x14ac:dyDescent="0.35">
      <c r="A21" s="2" t="s">
        <v>90</v>
      </c>
      <c r="B21" s="2" t="s">
        <v>177</v>
      </c>
      <c r="C21" s="2" t="s">
        <v>137</v>
      </c>
      <c r="D21" s="2" t="s">
        <v>16</v>
      </c>
      <c r="E21" s="2" t="s">
        <v>22</v>
      </c>
      <c r="F21" s="2" t="s">
        <v>30</v>
      </c>
      <c r="G21" s="2" t="s">
        <v>178</v>
      </c>
      <c r="H21" s="2">
        <v>0</v>
      </c>
    </row>
    <row r="22" spans="1:8" x14ac:dyDescent="0.35">
      <c r="A22" s="1" t="s">
        <v>91</v>
      </c>
      <c r="B22" s="1" t="s">
        <v>179</v>
      </c>
      <c r="C22" s="1" t="s">
        <v>137</v>
      </c>
      <c r="D22" s="1" t="s">
        <v>44</v>
      </c>
      <c r="E22" s="1" t="s">
        <v>43</v>
      </c>
      <c r="F22" s="1" t="s">
        <v>43</v>
      </c>
      <c r="G22" s="1" t="s">
        <v>180</v>
      </c>
      <c r="H22" s="1">
        <v>2</v>
      </c>
    </row>
    <row r="23" spans="1:8" x14ac:dyDescent="0.35">
      <c r="A23" s="2" t="s">
        <v>92</v>
      </c>
      <c r="B23" s="2" t="s">
        <v>181</v>
      </c>
      <c r="C23" s="2" t="s">
        <v>156</v>
      </c>
      <c r="D23" s="2" t="s">
        <v>16</v>
      </c>
      <c r="E23" s="2" t="s">
        <v>182</v>
      </c>
      <c r="F23" s="2" t="s">
        <v>31</v>
      </c>
      <c r="G23" s="2" t="s">
        <v>198</v>
      </c>
      <c r="H23" s="2">
        <v>0</v>
      </c>
    </row>
    <row r="24" spans="1:8" x14ac:dyDescent="0.35">
      <c r="A24" s="1" t="s">
        <v>93</v>
      </c>
      <c r="B24" s="1" t="s">
        <v>37</v>
      </c>
      <c r="C24" s="1" t="s">
        <v>183</v>
      </c>
      <c r="D24" s="1" t="s">
        <v>16</v>
      </c>
      <c r="E24" s="1" t="s">
        <v>37</v>
      </c>
      <c r="F24" s="1" t="s">
        <v>36</v>
      </c>
      <c r="G24" s="1" t="s">
        <v>132</v>
      </c>
      <c r="H24" s="1">
        <v>1</v>
      </c>
    </row>
    <row r="25" spans="1:8" x14ac:dyDescent="0.35">
      <c r="A25" s="2" t="s">
        <v>94</v>
      </c>
      <c r="B25" s="2" t="s">
        <v>184</v>
      </c>
      <c r="C25" s="2" t="s">
        <v>142</v>
      </c>
      <c r="D25" s="2" t="s">
        <v>16</v>
      </c>
      <c r="E25" s="2" t="s">
        <v>37</v>
      </c>
      <c r="F25" s="2" t="s">
        <v>30</v>
      </c>
      <c r="G25" s="2">
        <v>30</v>
      </c>
      <c r="H25" s="2">
        <v>1</v>
      </c>
    </row>
    <row r="26" spans="1:8" x14ac:dyDescent="0.35">
      <c r="A26" s="1" t="s">
        <v>95</v>
      </c>
      <c r="B26" s="1" t="s">
        <v>191</v>
      </c>
      <c r="C26" s="1" t="s">
        <v>185</v>
      </c>
      <c r="D26" s="1" t="s">
        <v>16</v>
      </c>
      <c r="E26" s="1" t="s">
        <v>21</v>
      </c>
      <c r="F26" s="1" t="s">
        <v>30</v>
      </c>
      <c r="G26" s="1" t="s">
        <v>189</v>
      </c>
      <c r="H26" s="1">
        <v>1</v>
      </c>
    </row>
    <row r="27" spans="1:8" x14ac:dyDescent="0.35">
      <c r="A27" s="2" t="s">
        <v>96</v>
      </c>
      <c r="B27" s="2" t="s">
        <v>187</v>
      </c>
      <c r="C27" s="2" t="s">
        <v>155</v>
      </c>
      <c r="D27" s="2" t="s">
        <v>16</v>
      </c>
      <c r="E27" s="2" t="s">
        <v>21</v>
      </c>
      <c r="F27" s="2" t="s">
        <v>30</v>
      </c>
      <c r="G27" s="2" t="s">
        <v>190</v>
      </c>
      <c r="H27" s="2">
        <v>7</v>
      </c>
    </row>
    <row r="28" spans="1:8" x14ac:dyDescent="0.35">
      <c r="A28" s="1" t="s">
        <v>97</v>
      </c>
      <c r="B28" s="1" t="s">
        <v>188</v>
      </c>
      <c r="C28" s="1" t="s">
        <v>186</v>
      </c>
      <c r="D28" s="1" t="s">
        <v>16</v>
      </c>
      <c r="E28" s="1" t="s">
        <v>21</v>
      </c>
      <c r="F28" s="1" t="s">
        <v>36</v>
      </c>
      <c r="G28" s="1" t="s">
        <v>192</v>
      </c>
      <c r="H28" s="1">
        <v>2</v>
      </c>
    </row>
    <row r="29" spans="1:8" x14ac:dyDescent="0.35">
      <c r="A29" s="2" t="s">
        <v>98</v>
      </c>
      <c r="B29" s="2" t="s">
        <v>194</v>
      </c>
      <c r="C29" s="2" t="s">
        <v>156</v>
      </c>
      <c r="D29" s="2" t="s">
        <v>16</v>
      </c>
      <c r="E29" s="2" t="s">
        <v>37</v>
      </c>
      <c r="F29" s="2" t="s">
        <v>33</v>
      </c>
      <c r="G29" s="2" t="s">
        <v>196</v>
      </c>
      <c r="H29" s="2">
        <v>0</v>
      </c>
    </row>
    <row r="30" spans="1:8" x14ac:dyDescent="0.35">
      <c r="A30" s="1" t="s">
        <v>99</v>
      </c>
      <c r="B30" s="1" t="s">
        <v>195</v>
      </c>
      <c r="C30" s="1" t="s">
        <v>201</v>
      </c>
      <c r="D30" s="1" t="s">
        <v>16</v>
      </c>
      <c r="E30" s="1" t="s">
        <v>37</v>
      </c>
      <c r="F30" s="1" t="s">
        <v>33</v>
      </c>
      <c r="G30" s="1" t="s">
        <v>197</v>
      </c>
      <c r="H30" s="1">
        <v>7</v>
      </c>
    </row>
    <row r="31" spans="1:8" x14ac:dyDescent="0.35">
      <c r="A31" s="2" t="s">
        <v>100</v>
      </c>
      <c r="B31" s="2" t="s">
        <v>199</v>
      </c>
      <c r="C31" s="2" t="s">
        <v>202</v>
      </c>
      <c r="D31" s="2" t="s">
        <v>16</v>
      </c>
      <c r="E31" s="2" t="s">
        <v>21</v>
      </c>
      <c r="F31" s="2" t="s">
        <v>33</v>
      </c>
      <c r="G31" s="2" t="s">
        <v>203</v>
      </c>
      <c r="H31" s="2">
        <v>3</v>
      </c>
    </row>
    <row r="32" spans="1:8" x14ac:dyDescent="0.35">
      <c r="A32" s="1" t="s">
        <v>101</v>
      </c>
      <c r="B32" s="1" t="s">
        <v>199</v>
      </c>
      <c r="C32" s="1" t="s">
        <v>202</v>
      </c>
      <c r="D32" s="1" t="s">
        <v>16</v>
      </c>
      <c r="E32" s="1" t="s">
        <v>21</v>
      </c>
      <c r="F32" s="1" t="s">
        <v>33</v>
      </c>
      <c r="G32" s="1" t="s">
        <v>204</v>
      </c>
      <c r="H32" s="1">
        <v>0</v>
      </c>
    </row>
    <row r="33" spans="1:8" x14ac:dyDescent="0.35">
      <c r="A33" s="2" t="s">
        <v>102</v>
      </c>
      <c r="B33" s="2" t="s">
        <v>199</v>
      </c>
      <c r="C33" s="2" t="s">
        <v>202</v>
      </c>
      <c r="D33" s="2" t="s">
        <v>16</v>
      </c>
      <c r="E33" s="2" t="s">
        <v>21</v>
      </c>
      <c r="F33" s="2" t="s">
        <v>33</v>
      </c>
      <c r="G33" s="2" t="s">
        <v>206</v>
      </c>
      <c r="H33" s="2">
        <v>1</v>
      </c>
    </row>
    <row r="34" spans="1:8" x14ac:dyDescent="0.35">
      <c r="A34" s="1" t="s">
        <v>103</v>
      </c>
      <c r="B34" s="1" t="s">
        <v>200</v>
      </c>
      <c r="C34" s="1" t="s">
        <v>200</v>
      </c>
      <c r="D34" s="1" t="s">
        <v>16</v>
      </c>
      <c r="E34" s="1" t="s">
        <v>21</v>
      </c>
      <c r="F34" s="1" t="s">
        <v>33</v>
      </c>
      <c r="G34" s="1" t="s">
        <v>205</v>
      </c>
      <c r="H34" s="1">
        <v>2</v>
      </c>
    </row>
    <row r="35" spans="1:8" x14ac:dyDescent="0.35">
      <c r="A35" s="2" t="s">
        <v>104</v>
      </c>
      <c r="B35" s="2" t="s">
        <v>208</v>
      </c>
      <c r="C35" s="2" t="s">
        <v>142</v>
      </c>
      <c r="D35" s="2" t="s">
        <v>16</v>
      </c>
      <c r="E35" s="2" t="s">
        <v>33</v>
      </c>
      <c r="F35" s="2" t="s">
        <v>34</v>
      </c>
      <c r="G35" s="2" t="s">
        <v>209</v>
      </c>
      <c r="H35" s="2">
        <v>12</v>
      </c>
    </row>
    <row r="36" spans="1:8" x14ac:dyDescent="0.35">
      <c r="A36" s="1" t="s">
        <v>105</v>
      </c>
      <c r="B36" s="1" t="s">
        <v>208</v>
      </c>
      <c r="C36" s="1" t="s">
        <v>142</v>
      </c>
      <c r="D36" s="1" t="s">
        <v>16</v>
      </c>
      <c r="E36" s="1" t="s">
        <v>33</v>
      </c>
      <c r="F36" s="1" t="s">
        <v>34</v>
      </c>
      <c r="G36" s="1" t="s">
        <v>210</v>
      </c>
      <c r="H36" s="1">
        <v>0</v>
      </c>
    </row>
    <row r="37" spans="1:8" x14ac:dyDescent="0.35">
      <c r="A37" s="2" t="s">
        <v>106</v>
      </c>
      <c r="B37" s="2" t="s">
        <v>208</v>
      </c>
      <c r="C37" s="2" t="s">
        <v>142</v>
      </c>
      <c r="D37" s="2" t="s">
        <v>16</v>
      </c>
      <c r="E37" s="2" t="s">
        <v>33</v>
      </c>
      <c r="F37" s="2" t="s">
        <v>35</v>
      </c>
      <c r="G37" s="2" t="s">
        <v>212</v>
      </c>
      <c r="H37" s="2">
        <v>7</v>
      </c>
    </row>
    <row r="38" spans="1:8" x14ac:dyDescent="0.35">
      <c r="A38" s="1" t="s">
        <v>107</v>
      </c>
      <c r="B38" s="1" t="s">
        <v>208</v>
      </c>
      <c r="C38" s="1" t="s">
        <v>142</v>
      </c>
      <c r="D38" s="1" t="s">
        <v>16</v>
      </c>
      <c r="E38" s="1" t="s">
        <v>33</v>
      </c>
      <c r="F38" s="1" t="s">
        <v>35</v>
      </c>
      <c r="G38" s="1" t="s">
        <v>213</v>
      </c>
      <c r="H38" s="1">
        <v>3</v>
      </c>
    </row>
    <row r="39" spans="1:8" x14ac:dyDescent="0.35">
      <c r="A39" s="2" t="s">
        <v>108</v>
      </c>
      <c r="B39" s="2" t="s">
        <v>215</v>
      </c>
      <c r="C39" s="2" t="s">
        <v>214</v>
      </c>
      <c r="D39" s="2" t="s">
        <v>16</v>
      </c>
      <c r="E39" s="2" t="s">
        <v>33</v>
      </c>
      <c r="F39" s="2" t="s">
        <v>35</v>
      </c>
      <c r="G39" s="2" t="s">
        <v>216</v>
      </c>
      <c r="H39" s="2">
        <v>0</v>
      </c>
    </row>
    <row r="40" spans="1:8" x14ac:dyDescent="0.35">
      <c r="A40" s="1" t="s">
        <v>109</v>
      </c>
      <c r="B40" s="1" t="s">
        <v>217</v>
      </c>
      <c r="C40" s="1" t="s">
        <v>173</v>
      </c>
      <c r="D40" s="1" t="s">
        <v>16</v>
      </c>
      <c r="E40" s="1" t="s">
        <v>38</v>
      </c>
      <c r="F40" s="1" t="s">
        <v>35</v>
      </c>
      <c r="G40" s="1" t="s">
        <v>221</v>
      </c>
      <c r="H40" s="1">
        <v>8</v>
      </c>
    </row>
    <row r="41" spans="1:8" x14ac:dyDescent="0.35">
      <c r="A41" s="2" t="s">
        <v>110</v>
      </c>
      <c r="B41" s="2" t="s">
        <v>218</v>
      </c>
      <c r="C41" s="2" t="s">
        <v>173</v>
      </c>
      <c r="D41" s="2" t="s">
        <v>16</v>
      </c>
      <c r="E41" s="2" t="s">
        <v>38</v>
      </c>
      <c r="F41" s="2" t="s">
        <v>35</v>
      </c>
      <c r="G41" s="2" t="s">
        <v>222</v>
      </c>
      <c r="H41" s="2">
        <v>3</v>
      </c>
    </row>
    <row r="42" spans="1:8" x14ac:dyDescent="0.35">
      <c r="A42" s="1" t="s">
        <v>111</v>
      </c>
      <c r="B42" s="1" t="s">
        <v>219</v>
      </c>
      <c r="C42" s="1" t="s">
        <v>220</v>
      </c>
      <c r="D42" s="1" t="s">
        <v>16</v>
      </c>
      <c r="E42" s="1" t="s">
        <v>38</v>
      </c>
      <c r="F42" s="1" t="s">
        <v>35</v>
      </c>
      <c r="G42" s="1" t="s">
        <v>221</v>
      </c>
      <c r="H42" s="1">
        <v>8</v>
      </c>
    </row>
    <row r="43" spans="1:8" x14ac:dyDescent="0.35">
      <c r="A43" s="2" t="s">
        <v>112</v>
      </c>
      <c r="B43" s="2" t="s">
        <v>223</v>
      </c>
      <c r="C43" s="2" t="s">
        <v>155</v>
      </c>
      <c r="D43" s="2" t="s">
        <v>44</v>
      </c>
      <c r="E43" s="2" t="s">
        <v>43</v>
      </c>
      <c r="F43" s="2" t="s">
        <v>43</v>
      </c>
      <c r="G43" s="2" t="s">
        <v>224</v>
      </c>
      <c r="H43" s="2">
        <v>3</v>
      </c>
    </row>
    <row r="44" spans="1:8" x14ac:dyDescent="0.35">
      <c r="A44" s="1" t="s">
        <v>113</v>
      </c>
      <c r="B44" s="1" t="s">
        <v>226</v>
      </c>
      <c r="C44" s="1" t="s">
        <v>142</v>
      </c>
      <c r="D44" s="1" t="s">
        <v>14</v>
      </c>
      <c r="E44" s="1" t="s">
        <v>225</v>
      </c>
      <c r="F44" s="1" t="s">
        <v>43</v>
      </c>
      <c r="G44" s="1" t="s">
        <v>227</v>
      </c>
      <c r="H44" s="1">
        <v>4</v>
      </c>
    </row>
    <row r="45" spans="1:8" x14ac:dyDescent="0.35">
      <c r="A45" s="2" t="s">
        <v>114</v>
      </c>
      <c r="B45" s="2" t="s">
        <v>225</v>
      </c>
      <c r="C45" s="2" t="s">
        <v>214</v>
      </c>
      <c r="D45" s="2" t="s">
        <v>14</v>
      </c>
      <c r="E45" s="2" t="s">
        <v>225</v>
      </c>
      <c r="F45" s="2" t="s">
        <v>43</v>
      </c>
      <c r="G45" s="2" t="s">
        <v>228</v>
      </c>
      <c r="H45" s="2">
        <v>13</v>
      </c>
    </row>
    <row r="46" spans="1:8" x14ac:dyDescent="0.35">
      <c r="A46" s="1" t="s">
        <v>115</v>
      </c>
      <c r="B46" s="1" t="s">
        <v>230</v>
      </c>
      <c r="C46" s="1" t="s">
        <v>232</v>
      </c>
      <c r="D46" s="1" t="s">
        <v>13</v>
      </c>
      <c r="E46" s="1" t="s">
        <v>233</v>
      </c>
      <c r="F46" s="1" t="s">
        <v>30</v>
      </c>
      <c r="G46" s="1" t="s">
        <v>231</v>
      </c>
      <c r="H46" s="1">
        <v>1</v>
      </c>
    </row>
    <row r="47" spans="1:8" x14ac:dyDescent="0.35">
      <c r="A47" s="2" t="s">
        <v>116</v>
      </c>
      <c r="B47" s="2" t="s">
        <v>235</v>
      </c>
      <c r="C47" s="2" t="s">
        <v>137</v>
      </c>
      <c r="D47" s="2" t="s">
        <v>13</v>
      </c>
      <c r="E47" s="2" t="s">
        <v>233</v>
      </c>
      <c r="F47" s="2" t="s">
        <v>30</v>
      </c>
      <c r="G47" s="2" t="s">
        <v>236</v>
      </c>
      <c r="H47" s="2">
        <v>1</v>
      </c>
    </row>
    <row r="48" spans="1:8" x14ac:dyDescent="0.35">
      <c r="A48" s="1" t="s">
        <v>117</v>
      </c>
      <c r="B48" s="1" t="s">
        <v>257</v>
      </c>
      <c r="C48" s="1" t="s">
        <v>234</v>
      </c>
      <c r="D48" s="1" t="s">
        <v>13</v>
      </c>
      <c r="E48" s="1" t="s">
        <v>233</v>
      </c>
      <c r="F48" s="1" t="s">
        <v>39</v>
      </c>
      <c r="G48" s="1" t="s">
        <v>259</v>
      </c>
      <c r="H48" s="1">
        <v>6</v>
      </c>
    </row>
    <row r="49" spans="1:8" x14ac:dyDescent="0.35">
      <c r="A49" s="2" t="s">
        <v>118</v>
      </c>
      <c r="B49" s="2" t="s">
        <v>258</v>
      </c>
      <c r="C49" s="2" t="s">
        <v>155</v>
      </c>
      <c r="D49" s="2" t="s">
        <v>13</v>
      </c>
      <c r="E49" s="2" t="s">
        <v>233</v>
      </c>
      <c r="F49" s="2" t="s">
        <v>39</v>
      </c>
      <c r="G49" s="2" t="s">
        <v>261</v>
      </c>
      <c r="H49" s="2">
        <v>3</v>
      </c>
    </row>
    <row r="50" spans="1:8" x14ac:dyDescent="0.35">
      <c r="A50" s="1" t="s">
        <v>119</v>
      </c>
      <c r="B50" s="1" t="s">
        <v>237</v>
      </c>
      <c r="C50" s="1" t="s">
        <v>137</v>
      </c>
      <c r="D50" s="1" t="s">
        <v>13</v>
      </c>
      <c r="E50" s="1" t="s">
        <v>41</v>
      </c>
      <c r="F50" s="1" t="s">
        <v>41</v>
      </c>
      <c r="G50" s="1" t="s">
        <v>238</v>
      </c>
      <c r="H50" s="1">
        <v>5</v>
      </c>
    </row>
    <row r="51" spans="1:8" x14ac:dyDescent="0.35">
      <c r="A51" s="2" t="s">
        <v>239</v>
      </c>
      <c r="B51" s="2" t="s">
        <v>255</v>
      </c>
      <c r="C51" s="2" t="s">
        <v>142</v>
      </c>
      <c r="D51" s="2" t="s">
        <v>14</v>
      </c>
      <c r="E51" s="2" t="s">
        <v>40</v>
      </c>
      <c r="F51" s="2" t="s">
        <v>31</v>
      </c>
      <c r="G51" s="2" t="s">
        <v>256</v>
      </c>
      <c r="H51" s="2">
        <v>0</v>
      </c>
    </row>
    <row r="52" spans="1:8" x14ac:dyDescent="0.35">
      <c r="A52" s="1" t="s">
        <v>240</v>
      </c>
      <c r="B52" s="1" t="s">
        <v>262</v>
      </c>
      <c r="C52" s="1" t="s">
        <v>137</v>
      </c>
      <c r="D52" s="1" t="s">
        <v>14</v>
      </c>
      <c r="E52" s="1" t="s">
        <v>23</v>
      </c>
      <c r="F52" s="1" t="s">
        <v>31</v>
      </c>
      <c r="G52" s="1" t="s">
        <v>263</v>
      </c>
      <c r="H52" s="1">
        <v>6</v>
      </c>
    </row>
    <row r="53" spans="1:8" x14ac:dyDescent="0.35">
      <c r="A53" s="2" t="s">
        <v>241</v>
      </c>
      <c r="B53" s="2" t="s">
        <v>264</v>
      </c>
      <c r="C53" s="2" t="s">
        <v>142</v>
      </c>
      <c r="D53" s="2" t="s">
        <v>14</v>
      </c>
      <c r="E53" s="2" t="s">
        <v>23</v>
      </c>
      <c r="F53" s="2" t="s">
        <v>31</v>
      </c>
      <c r="G53" s="2" t="s">
        <v>265</v>
      </c>
      <c r="H53" s="2">
        <v>8</v>
      </c>
    </row>
    <row r="54" spans="1:8" x14ac:dyDescent="0.35">
      <c r="A54" s="1" t="s">
        <v>242</v>
      </c>
      <c r="B54" s="1" t="s">
        <v>266</v>
      </c>
      <c r="C54" s="1" t="s">
        <v>267</v>
      </c>
      <c r="D54" s="1" t="s">
        <v>14</v>
      </c>
      <c r="E54" s="1" t="s">
        <v>40</v>
      </c>
      <c r="F54" s="1" t="s">
        <v>31</v>
      </c>
      <c r="G54" s="1" t="s">
        <v>269</v>
      </c>
      <c r="H54" s="1">
        <v>3</v>
      </c>
    </row>
    <row r="55" spans="1:8" x14ac:dyDescent="0.35">
      <c r="A55" s="2" t="s">
        <v>243</v>
      </c>
      <c r="B55" s="2" t="s">
        <v>266</v>
      </c>
      <c r="C55" s="2" t="s">
        <v>267</v>
      </c>
      <c r="D55" s="2" t="s">
        <v>14</v>
      </c>
      <c r="E55" s="2" t="s">
        <v>40</v>
      </c>
      <c r="F55" s="2" t="s">
        <v>31</v>
      </c>
      <c r="G55" s="2" t="s">
        <v>270</v>
      </c>
      <c r="H55" s="2">
        <v>0</v>
      </c>
    </row>
    <row r="56" spans="1:8" x14ac:dyDescent="0.35">
      <c r="A56" s="1" t="s">
        <v>244</v>
      </c>
      <c r="B56" s="1" t="s">
        <v>266</v>
      </c>
      <c r="C56" s="1" t="s">
        <v>267</v>
      </c>
      <c r="D56" s="1" t="s">
        <v>14</v>
      </c>
      <c r="E56" s="1" t="s">
        <v>40</v>
      </c>
      <c r="F56" s="1" t="s">
        <v>31</v>
      </c>
      <c r="G56" s="1" t="s">
        <v>271</v>
      </c>
      <c r="H56" s="1">
        <v>0</v>
      </c>
    </row>
    <row r="57" spans="1:8" x14ac:dyDescent="0.35">
      <c r="A57" s="2" t="s">
        <v>245</v>
      </c>
      <c r="B57" s="2" t="s">
        <v>266</v>
      </c>
      <c r="C57" s="2" t="s">
        <v>267</v>
      </c>
      <c r="D57" s="2" t="s">
        <v>14</v>
      </c>
      <c r="E57" s="2" t="s">
        <v>40</v>
      </c>
      <c r="F57" s="2" t="s">
        <v>31</v>
      </c>
      <c r="G57" s="2" t="s">
        <v>272</v>
      </c>
      <c r="H57" s="2">
        <v>8</v>
      </c>
    </row>
    <row r="58" spans="1:8" x14ac:dyDescent="0.35">
      <c r="A58" s="1" t="s">
        <v>246</v>
      </c>
      <c r="B58" s="1" t="s">
        <v>266</v>
      </c>
      <c r="C58" s="1" t="s">
        <v>267</v>
      </c>
      <c r="D58" s="1" t="s">
        <v>14</v>
      </c>
      <c r="E58" s="1" t="s">
        <v>40</v>
      </c>
      <c r="F58" s="1" t="s">
        <v>31</v>
      </c>
      <c r="G58" s="1" t="s">
        <v>273</v>
      </c>
      <c r="H58" s="1">
        <v>0</v>
      </c>
    </row>
    <row r="59" spans="1:8" x14ac:dyDescent="0.35">
      <c r="A59" s="2" t="s">
        <v>247</v>
      </c>
      <c r="B59" s="2" t="s">
        <v>274</v>
      </c>
      <c r="C59" s="2" t="s">
        <v>142</v>
      </c>
      <c r="D59" s="2" t="s">
        <v>44</v>
      </c>
      <c r="E59" s="2" t="s">
        <v>43</v>
      </c>
      <c r="F59" s="2" t="s">
        <v>43</v>
      </c>
      <c r="G59" s="2" t="s">
        <v>275</v>
      </c>
      <c r="H59" s="2">
        <v>1</v>
      </c>
    </row>
    <row r="60" spans="1:8" x14ac:dyDescent="0.35">
      <c r="A60" s="1" t="s">
        <v>248</v>
      </c>
      <c r="B60" s="1" t="s">
        <v>279</v>
      </c>
      <c r="C60" s="1" t="s">
        <v>277</v>
      </c>
      <c r="D60" s="1" t="s">
        <v>16</v>
      </c>
      <c r="E60" s="1" t="s">
        <v>60</v>
      </c>
      <c r="F60" s="1" t="s">
        <v>29</v>
      </c>
      <c r="G60" s="1" t="s">
        <v>198</v>
      </c>
      <c r="H60" s="1">
        <v>0</v>
      </c>
    </row>
    <row r="61" spans="1:8" x14ac:dyDescent="0.35">
      <c r="A61" s="2" t="s">
        <v>249</v>
      </c>
      <c r="B61" s="2" t="s">
        <v>215</v>
      </c>
      <c r="C61" s="2" t="s">
        <v>214</v>
      </c>
      <c r="D61" s="2" t="s">
        <v>16</v>
      </c>
      <c r="E61" s="2" t="s">
        <v>60</v>
      </c>
      <c r="F61" s="2" t="s">
        <v>29</v>
      </c>
      <c r="G61" s="2" t="s">
        <v>198</v>
      </c>
      <c r="H61" s="2">
        <v>3</v>
      </c>
    </row>
    <row r="62" spans="1:8" x14ac:dyDescent="0.35">
      <c r="A62" s="1" t="s">
        <v>250</v>
      </c>
      <c r="B62" s="1" t="s">
        <v>278</v>
      </c>
      <c r="C62" s="1" t="s">
        <v>142</v>
      </c>
      <c r="D62" s="1" t="s">
        <v>16</v>
      </c>
      <c r="E62" s="1" t="s">
        <v>60</v>
      </c>
      <c r="F62" s="1" t="s">
        <v>29</v>
      </c>
      <c r="G62" s="1" t="s">
        <v>198</v>
      </c>
      <c r="H62" s="1">
        <v>0</v>
      </c>
    </row>
    <row r="63" spans="1:8" x14ac:dyDescent="0.35">
      <c r="A63" s="2" t="s">
        <v>251</v>
      </c>
      <c r="B63" s="2" t="s">
        <v>280</v>
      </c>
      <c r="C63" s="2" t="s">
        <v>157</v>
      </c>
      <c r="D63" s="2" t="s">
        <v>16</v>
      </c>
      <c r="E63" s="2" t="s">
        <v>60</v>
      </c>
      <c r="F63" s="2" t="s">
        <v>29</v>
      </c>
      <c r="G63" s="2" t="s">
        <v>198</v>
      </c>
      <c r="H63" s="2">
        <v>0</v>
      </c>
    </row>
    <row r="64" spans="1:8" x14ac:dyDescent="0.35">
      <c r="A64" s="1" t="s">
        <v>252</v>
      </c>
      <c r="B64" s="1" t="s">
        <v>282</v>
      </c>
      <c r="C64" s="1" t="s">
        <v>137</v>
      </c>
      <c r="D64" s="1" t="s">
        <v>16</v>
      </c>
      <c r="E64" s="1" t="s">
        <v>60</v>
      </c>
      <c r="F64" s="1" t="s">
        <v>29</v>
      </c>
      <c r="G64" s="1" t="s">
        <v>198</v>
      </c>
      <c r="H64" s="1">
        <v>0</v>
      </c>
    </row>
    <row r="65" spans="1:8" x14ac:dyDescent="0.35">
      <c r="A65" s="2" t="s">
        <v>253</v>
      </c>
      <c r="B65" s="2" t="s">
        <v>284</v>
      </c>
      <c r="C65" s="2" t="s">
        <v>157</v>
      </c>
      <c r="D65" s="2" t="s">
        <v>16</v>
      </c>
      <c r="E65" s="2" t="s">
        <v>33</v>
      </c>
      <c r="F65" s="2" t="s">
        <v>35</v>
      </c>
      <c r="G65" s="2" t="s">
        <v>216</v>
      </c>
      <c r="H65" s="2">
        <v>5</v>
      </c>
    </row>
    <row r="66" spans="1:8" x14ac:dyDescent="0.35">
      <c r="A66" s="8" t="s">
        <v>254</v>
      </c>
      <c r="B66" s="8" t="s">
        <v>285</v>
      </c>
      <c r="C66" s="8" t="s">
        <v>142</v>
      </c>
      <c r="D66" s="8" t="s">
        <v>14</v>
      </c>
      <c r="E66" s="8" t="s">
        <v>23</v>
      </c>
      <c r="F66" s="8" t="s">
        <v>30</v>
      </c>
      <c r="G66" s="8" t="s">
        <v>286</v>
      </c>
      <c r="H66" s="8">
        <v>2</v>
      </c>
    </row>
    <row r="67" spans="1:8" x14ac:dyDescent="0.35">
      <c r="A67" s="8" t="s">
        <v>288</v>
      </c>
      <c r="B67" s="8" t="s">
        <v>289</v>
      </c>
      <c r="C67" s="8" t="s">
        <v>137</v>
      </c>
      <c r="D67" s="8" t="s">
        <v>16</v>
      </c>
      <c r="E67" s="8" t="s">
        <v>19</v>
      </c>
      <c r="F67" s="8" t="s">
        <v>32</v>
      </c>
      <c r="G67" s="8" t="s">
        <v>290</v>
      </c>
      <c r="H67" s="8">
        <v>3</v>
      </c>
    </row>
    <row r="68" spans="1:8" x14ac:dyDescent="0.35">
      <c r="A68" s="9" t="s">
        <v>295</v>
      </c>
      <c r="B68" s="9" t="s">
        <v>296</v>
      </c>
      <c r="C68" s="9" t="s">
        <v>156</v>
      </c>
      <c r="D68" s="9" t="s">
        <v>16</v>
      </c>
      <c r="E68" s="9" t="s">
        <v>33</v>
      </c>
      <c r="F68" s="9" t="s">
        <v>34</v>
      </c>
      <c r="G68" s="9" t="s">
        <v>297</v>
      </c>
      <c r="H68" s="9">
        <v>1</v>
      </c>
    </row>
  </sheetData>
  <conditionalFormatting sqref="A2:G68">
    <cfRule type="expression" dxfId="5" priority="2">
      <formula>ISBLANK(A2)</formula>
    </cfRule>
  </conditionalFormatting>
  <conditionalFormatting sqref="H2:H68">
    <cfRule type="expression" dxfId="4" priority="3">
      <formula>ISBLANK(H2)</formula>
    </cfRule>
  </conditionalFormatting>
  <conditionalFormatting sqref="A68:G68">
    <cfRule type="expression" dxfId="2" priority="1">
      <formula>ISBLANK(A68)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D1CA23C-63B0-48A1-893F-FD71ABFB5187}">
          <x14:formula1>
            <xm:f>Dropdownlists!$G:$G</xm:f>
          </x14:formula1>
          <xm:sqref>F2:F68</xm:sqref>
        </x14:dataValidation>
        <x14:dataValidation type="list" allowBlank="1" showInputMessage="1" showErrorMessage="1" xr:uid="{A2A04BBC-D6C8-4B34-962C-F6E2DFF1F9B3}">
          <x14:formula1>
            <xm:f>Dropdownlists!$D:$D</xm:f>
          </x14:formula1>
          <xm:sqref>E2:E68</xm:sqref>
        </x14:dataValidation>
        <x14:dataValidation type="list" allowBlank="1" showInputMessage="1" showErrorMessage="1" xr:uid="{CB60DF21-745D-45DB-B934-D8CFEFFC73CA}">
          <x14:formula1>
            <xm:f>Dropdownlists!$A:$A</xm:f>
          </x14:formula1>
          <xm:sqref>D2:D68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32212-121A-4966-8D24-B722C9DDDBB7}">
  <dimension ref="A1:J36"/>
  <sheetViews>
    <sheetView workbookViewId="0">
      <selection activeCell="G19" sqref="G19"/>
    </sheetView>
  </sheetViews>
  <sheetFormatPr defaultRowHeight="14.5" x14ac:dyDescent="0.35"/>
  <cols>
    <col min="4" max="4" width="11.54296875" bestFit="1" customWidth="1"/>
  </cols>
  <sheetData>
    <row r="1" spans="1:10" x14ac:dyDescent="0.35">
      <c r="A1" t="s">
        <v>16</v>
      </c>
      <c r="D1" t="s">
        <v>18</v>
      </c>
      <c r="G1" t="s">
        <v>27</v>
      </c>
      <c r="J1" t="s">
        <v>124</v>
      </c>
    </row>
    <row r="2" spans="1:10" x14ac:dyDescent="0.35">
      <c r="A2" t="s">
        <v>13</v>
      </c>
      <c r="D2" t="s">
        <v>19</v>
      </c>
      <c r="G2" t="s">
        <v>28</v>
      </c>
      <c r="J2" t="s">
        <v>125</v>
      </c>
    </row>
    <row r="3" spans="1:10" x14ac:dyDescent="0.35">
      <c r="A3" t="s">
        <v>14</v>
      </c>
      <c r="D3" t="s">
        <v>20</v>
      </c>
      <c r="G3" t="s">
        <v>14</v>
      </c>
    </row>
    <row r="4" spans="1:10" x14ac:dyDescent="0.35">
      <c r="A4" t="s">
        <v>15</v>
      </c>
      <c r="D4" t="s">
        <v>33</v>
      </c>
      <c r="G4" t="s">
        <v>17</v>
      </c>
    </row>
    <row r="5" spans="1:10" x14ac:dyDescent="0.35">
      <c r="A5" t="s">
        <v>17</v>
      </c>
      <c r="D5" t="s">
        <v>21</v>
      </c>
      <c r="G5" t="s">
        <v>29</v>
      </c>
    </row>
    <row r="6" spans="1:10" x14ac:dyDescent="0.35">
      <c r="A6" t="s">
        <v>44</v>
      </c>
      <c r="D6" t="s">
        <v>37</v>
      </c>
      <c r="G6" t="s">
        <v>30</v>
      </c>
    </row>
    <row r="7" spans="1:10" x14ac:dyDescent="0.35">
      <c r="A7" t="s">
        <v>45</v>
      </c>
      <c r="D7" t="s">
        <v>22</v>
      </c>
      <c r="G7" t="s">
        <v>31</v>
      </c>
    </row>
    <row r="8" spans="1:10" x14ac:dyDescent="0.35">
      <c r="D8" t="s">
        <v>38</v>
      </c>
      <c r="G8" t="s">
        <v>30</v>
      </c>
    </row>
    <row r="9" spans="1:10" x14ac:dyDescent="0.35">
      <c r="D9" t="s">
        <v>40</v>
      </c>
      <c r="G9" t="s">
        <v>32</v>
      </c>
    </row>
    <row r="10" spans="1:10" x14ac:dyDescent="0.35">
      <c r="D10" t="s">
        <v>23</v>
      </c>
      <c r="G10" t="s">
        <v>34</v>
      </c>
    </row>
    <row r="11" spans="1:10" x14ac:dyDescent="0.35">
      <c r="D11" t="s">
        <v>24</v>
      </c>
      <c r="G11" t="s">
        <v>35</v>
      </c>
    </row>
    <row r="12" spans="1:10" x14ac:dyDescent="0.35">
      <c r="D12" t="s">
        <v>25</v>
      </c>
      <c r="G12" t="s">
        <v>36</v>
      </c>
    </row>
    <row r="13" spans="1:10" x14ac:dyDescent="0.35">
      <c r="D13" t="s">
        <v>26</v>
      </c>
      <c r="G13" t="s">
        <v>33</v>
      </c>
    </row>
    <row r="14" spans="1:10" x14ac:dyDescent="0.35">
      <c r="D14" t="s">
        <v>41</v>
      </c>
      <c r="G14" t="s">
        <v>39</v>
      </c>
    </row>
    <row r="15" spans="1:10" x14ac:dyDescent="0.35">
      <c r="D15" t="s">
        <v>42</v>
      </c>
      <c r="G15" t="s">
        <v>43</v>
      </c>
    </row>
    <row r="16" spans="1:10" x14ac:dyDescent="0.35">
      <c r="D16" t="s">
        <v>43</v>
      </c>
      <c r="G16" t="s">
        <v>49</v>
      </c>
    </row>
    <row r="17" spans="4:7" x14ac:dyDescent="0.35">
      <c r="D17" t="s">
        <v>46</v>
      </c>
      <c r="G17" t="s">
        <v>50</v>
      </c>
    </row>
    <row r="18" spans="4:7" x14ac:dyDescent="0.35">
      <c r="D18" t="s">
        <v>47</v>
      </c>
      <c r="G18" t="s">
        <v>41</v>
      </c>
    </row>
    <row r="19" spans="4:7" x14ac:dyDescent="0.35">
      <c r="D19" t="s">
        <v>48</v>
      </c>
    </row>
    <row r="20" spans="4:7" x14ac:dyDescent="0.35">
      <c r="D20" t="s">
        <v>51</v>
      </c>
    </row>
    <row r="21" spans="4:7" x14ac:dyDescent="0.35">
      <c r="D21" t="s">
        <v>52</v>
      </c>
    </row>
    <row r="22" spans="4:7" x14ac:dyDescent="0.35">
      <c r="D22" t="s">
        <v>53</v>
      </c>
    </row>
    <row r="23" spans="4:7" x14ac:dyDescent="0.35">
      <c r="D23" t="s">
        <v>54</v>
      </c>
    </row>
    <row r="24" spans="4:7" x14ac:dyDescent="0.35">
      <c r="D24" t="s">
        <v>55</v>
      </c>
    </row>
    <row r="25" spans="4:7" x14ac:dyDescent="0.35">
      <c r="D25" t="s">
        <v>56</v>
      </c>
    </row>
    <row r="26" spans="4:7" x14ac:dyDescent="0.35">
      <c r="D26" t="s">
        <v>57</v>
      </c>
    </row>
    <row r="27" spans="4:7" x14ac:dyDescent="0.35">
      <c r="D27" t="s">
        <v>58</v>
      </c>
    </row>
    <row r="28" spans="4:7" x14ac:dyDescent="0.35">
      <c r="D28" t="s">
        <v>59</v>
      </c>
    </row>
    <row r="29" spans="4:7" x14ac:dyDescent="0.35">
      <c r="D29" t="s">
        <v>60</v>
      </c>
    </row>
    <row r="30" spans="4:7" x14ac:dyDescent="0.35">
      <c r="D30" t="s">
        <v>126</v>
      </c>
    </row>
    <row r="31" spans="4:7" x14ac:dyDescent="0.35">
      <c r="D31" t="s">
        <v>127</v>
      </c>
    </row>
    <row r="32" spans="4:7" x14ac:dyDescent="0.35">
      <c r="D32" t="s">
        <v>128</v>
      </c>
    </row>
    <row r="33" spans="4:4" x14ac:dyDescent="0.35">
      <c r="D33" t="s">
        <v>129</v>
      </c>
    </row>
    <row r="34" spans="4:4" x14ac:dyDescent="0.35">
      <c r="D34" t="s">
        <v>182</v>
      </c>
    </row>
    <row r="35" spans="4:4" x14ac:dyDescent="0.35">
      <c r="D35" t="s">
        <v>225</v>
      </c>
    </row>
    <row r="36" spans="4:4" x14ac:dyDescent="0.35">
      <c r="D36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Products</vt:lpstr>
      <vt:lpstr>Usage log</vt:lpstr>
      <vt:lpstr>Dropdownlists</vt:lpstr>
      <vt:lpstr>UsaseLog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Guerrero</dc:creator>
  <cp:lastModifiedBy>Karen Guerrero</cp:lastModifiedBy>
  <dcterms:created xsi:type="dcterms:W3CDTF">2015-06-05T18:17:20Z</dcterms:created>
  <dcterms:modified xsi:type="dcterms:W3CDTF">2026-10-18T22:50:27Z</dcterms:modified>
</cp:coreProperties>
</file>